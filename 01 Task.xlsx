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DA-17-DEVANSHI\ExcelWork\"/>
    </mc:Choice>
  </mc:AlternateContent>
  <xr:revisionPtr revIDLastSave="0" documentId="13_ncr:1_{EF2D702B-06C8-4439-81E0-C2ECA2D5D6B1}" xr6:coauthVersionLast="47" xr6:coauthVersionMax="47" xr10:uidLastSave="{00000000-0000-0000-0000-000000000000}"/>
  <bookViews>
    <workbookView xWindow="-120" yWindow="-120" windowWidth="20730" windowHeight="11040" activeTab="5" xr2:uid="{A112B764-5EA3-476F-9B95-DB6FFC33E643}"/>
  </bookViews>
  <sheets>
    <sheet name="Task 1" sheetId="1" r:id="rId1"/>
    <sheet name="Task 4" sheetId="4" r:id="rId2"/>
    <sheet name="Task 5" sheetId="5" r:id="rId3"/>
    <sheet name="Sheet2" sheetId="6" r:id="rId4"/>
    <sheet name="Sheet4" sheetId="8" r:id="rId5"/>
    <sheet name="Sheet5" sheetId="9" r:id="rId6"/>
    <sheet name="Sheet3" sheetId="7" r:id="rId7"/>
    <sheet name="Task 2" sheetId="2" r:id="rId8"/>
    <sheet name="Task 3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2" i="9"/>
  <c r="C3" i="8"/>
  <c r="C4" i="8"/>
  <c r="C5" i="8"/>
  <c r="C6" i="8"/>
  <c r="C2" i="8"/>
  <c r="B2" i="8"/>
  <c r="B3" i="8"/>
  <c r="B4" i="8"/>
  <c r="B5" i="8"/>
  <c r="B6" i="8"/>
  <c r="J8" i="6"/>
  <c r="J9" i="6"/>
  <c r="J10" i="6"/>
  <c r="J7" i="6"/>
  <c r="I8" i="6"/>
  <c r="I9" i="6"/>
  <c r="I10" i="6"/>
  <c r="I7" i="6"/>
  <c r="B7" i="6"/>
  <c r="C7" i="6"/>
  <c r="D7" i="6"/>
  <c r="E7" i="6"/>
  <c r="F7" i="6"/>
  <c r="B8" i="6"/>
  <c r="C8" i="6"/>
  <c r="D8" i="6"/>
  <c r="E8" i="6"/>
  <c r="F8" i="6"/>
  <c r="B9" i="6"/>
  <c r="C9" i="6"/>
  <c r="D9" i="6"/>
  <c r="E9" i="6"/>
  <c r="F9" i="6"/>
  <c r="B10" i="6"/>
  <c r="C10" i="6"/>
  <c r="D10" i="6"/>
  <c r="E10" i="6"/>
  <c r="F10" i="6"/>
  <c r="B11" i="6"/>
  <c r="C11" i="6"/>
  <c r="D11" i="6"/>
  <c r="E11" i="6"/>
  <c r="F11" i="6"/>
  <c r="B12" i="6"/>
  <c r="C12" i="6"/>
  <c r="D12" i="6"/>
  <c r="E12" i="6"/>
  <c r="F12" i="6"/>
  <c r="B13" i="6"/>
  <c r="C13" i="6"/>
  <c r="D13" i="6"/>
  <c r="E13" i="6"/>
  <c r="F13" i="6"/>
  <c r="B14" i="6"/>
  <c r="C14" i="6"/>
  <c r="D14" i="6"/>
  <c r="E14" i="6"/>
  <c r="F14" i="6"/>
  <c r="B15" i="6"/>
  <c r="C15" i="6"/>
  <c r="D15" i="6"/>
  <c r="E15" i="6"/>
  <c r="F15" i="6"/>
  <c r="B16" i="6"/>
  <c r="C16" i="6"/>
  <c r="D16" i="6"/>
  <c r="E16" i="6"/>
  <c r="F16" i="6"/>
  <c r="B17" i="6"/>
  <c r="C17" i="6"/>
  <c r="D17" i="6"/>
  <c r="E17" i="6"/>
  <c r="F17" i="6"/>
  <c r="B18" i="6"/>
  <c r="C18" i="6"/>
  <c r="D18" i="6"/>
  <c r="E18" i="6"/>
  <c r="F18" i="6"/>
  <c r="B19" i="6"/>
  <c r="C19" i="6"/>
  <c r="D19" i="6"/>
  <c r="E19" i="6"/>
  <c r="F19" i="6"/>
  <c r="B20" i="6"/>
  <c r="C20" i="6"/>
  <c r="D20" i="6"/>
  <c r="E20" i="6"/>
  <c r="F20" i="6"/>
  <c r="B21" i="6"/>
  <c r="C21" i="6"/>
  <c r="D21" i="6"/>
  <c r="E21" i="6"/>
  <c r="F21" i="6"/>
  <c r="C6" i="6"/>
  <c r="D6" i="6"/>
  <c r="E6" i="6"/>
  <c r="F6" i="6"/>
  <c r="B6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" i="5"/>
  <c r="C9" i="5"/>
  <c r="C10" i="5"/>
  <c r="C11" i="5"/>
  <c r="C12" i="5"/>
  <c r="C13" i="5"/>
  <c r="C14" i="5"/>
  <c r="C15" i="5"/>
  <c r="C16" i="5"/>
  <c r="C17" i="5"/>
  <c r="C18" i="5"/>
  <c r="C19" i="5"/>
  <c r="C20" i="5"/>
  <c r="C8" i="5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7" i="4"/>
  <c r="F3" i="3"/>
  <c r="F4" i="3"/>
  <c r="F5" i="3"/>
  <c r="F6" i="3"/>
  <c r="F2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7" i="3"/>
  <c r="E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7" i="3"/>
  <c r="I22" i="6" l="1"/>
  <c r="I14" i="6"/>
  <c r="J19" i="6"/>
  <c r="J15" i="6"/>
  <c r="J17" i="6"/>
  <c r="J20" i="6"/>
  <c r="J12" i="6"/>
  <c r="J11" i="6"/>
  <c r="J26" i="6"/>
  <c r="J23" i="6"/>
  <c r="J18" i="6"/>
  <c r="J21" i="6"/>
  <c r="J13" i="6"/>
  <c r="J24" i="6"/>
  <c r="J16" i="6"/>
  <c r="J25" i="6"/>
  <c r="J22" i="6"/>
  <c r="J14" i="6"/>
  <c r="I25" i="6"/>
  <c r="I17" i="6"/>
  <c r="I20" i="6"/>
  <c r="I12" i="6"/>
  <c r="I11" i="6"/>
  <c r="I26" i="6"/>
  <c r="I18" i="6"/>
  <c r="I21" i="6"/>
  <c r="I13" i="6"/>
  <c r="I24" i="6"/>
  <c r="I16" i="6"/>
  <c r="I23" i="6"/>
  <c r="I19" i="6"/>
  <c r="I15" i="6"/>
  <c r="C21" i="5"/>
  <c r="C22" i="5"/>
  <c r="G15" i="5"/>
  <c r="G14" i="5"/>
  <c r="G13" i="5"/>
  <c r="C23" i="4"/>
  <c r="C22" i="4"/>
  <c r="F17" i="3"/>
  <c r="F9" i="3"/>
  <c r="F7" i="3"/>
  <c r="F21" i="3"/>
  <c r="F13" i="3"/>
  <c r="F14" i="3"/>
  <c r="F20" i="3"/>
  <c r="F16" i="3"/>
  <c r="F8" i="3"/>
  <c r="F12" i="3"/>
  <c r="F19" i="3"/>
  <c r="F11" i="3"/>
  <c r="F18" i="3"/>
  <c r="F10" i="3"/>
  <c r="F15" i="3"/>
  <c r="C1048576" i="4" l="1"/>
</calcChain>
</file>

<file path=xl/sharedStrings.xml><?xml version="1.0" encoding="utf-8"?>
<sst xmlns="http://schemas.openxmlformats.org/spreadsheetml/2006/main" count="291" uniqueCount="126">
  <si>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</si>
  <si>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</si>
  <si>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</si>
  <si>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</si>
  <si>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</si>
  <si>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</si>
  <si>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</si>
  <si>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</si>
  <si>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</si>
  <si>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</si>
  <si>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</si>
  <si>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</si>
  <si>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</si>
  <si>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</si>
  <si>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</si>
  <si>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</si>
  <si>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</si>
  <si>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</si>
  <si>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</si>
  <si>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</si>
  <si>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</si>
  <si>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</si>
  <si>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</si>
  <si>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</si>
  <si>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</si>
  <si>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</si>
  <si>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</si>
  <si>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</si>
  <si>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</si>
  <si>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</si>
  <si>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</si>
  <si>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</si>
  <si>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</si>
  <si>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</si>
  <si>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</si>
  <si>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</si>
  <si>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</si>
  <si>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</si>
  <si>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</si>
  <si>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</si>
  <si>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</si>
  <si>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</si>
  <si>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</si>
  <si>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</si>
  <si>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</si>
  <si>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</si>
  <si>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</si>
  <si>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</si>
  <si>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</si>
  <si>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</si>
  <si>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</si>
  <si>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</si>
  <si>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</si>
  <si>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</si>
  <si>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</si>
  <si>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</si>
  <si>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</si>
  <si>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</si>
  <si>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</si>
  <si>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</si>
  <si>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</si>
  <si>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</si>
  <si>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</si>
  <si>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</si>
  <si>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</si>
  <si>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</si>
  <si>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</si>
  <si>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</si>
  <si>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</si>
  <si>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</si>
  <si>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</si>
  <si>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</si>
  <si>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</si>
  <si>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</si>
  <si>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</si>
  <si>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</si>
  <si>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</si>
  <si>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</si>
  <si>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</si>
  <si>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</si>
  <si>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</si>
  <si>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</si>
  <si>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</si>
  <si>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</si>
  <si>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</si>
  <si>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</si>
  <si>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</si>
  <si>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</si>
  <si>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</si>
  <si>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avg sales</t>
  </si>
  <si>
    <t>Employee Name</t>
  </si>
  <si>
    <t>Suresh</t>
  </si>
  <si>
    <t>Meena</t>
  </si>
  <si>
    <t>Karan</t>
  </si>
  <si>
    <t>Ritu</t>
  </si>
  <si>
    <t>Aman</t>
  </si>
  <si>
    <t>Neel</t>
  </si>
  <si>
    <t>Total</t>
  </si>
  <si>
    <t>FINANCE</t>
  </si>
  <si>
    <t>average</t>
  </si>
  <si>
    <t>total employee</t>
  </si>
  <si>
    <t>Day 1</t>
  </si>
  <si>
    <t>Day 2</t>
  </si>
  <si>
    <t>Day 3</t>
  </si>
  <si>
    <t>Day 4</t>
  </si>
  <si>
    <t>Day 5</t>
  </si>
  <si>
    <t>P</t>
  </si>
  <si>
    <t>A</t>
  </si>
  <si>
    <t>student name</t>
  </si>
  <si>
    <t>present</t>
  </si>
  <si>
    <t>absent</t>
  </si>
  <si>
    <t>Employee code</t>
  </si>
  <si>
    <t>EMP-102567</t>
  </si>
  <si>
    <t>EMP-2045</t>
  </si>
  <si>
    <t>EMP-3098</t>
  </si>
  <si>
    <t>EMP-4512</t>
  </si>
  <si>
    <t>EMP-5679</t>
  </si>
  <si>
    <t>Faculty name</t>
  </si>
  <si>
    <t>class conducted</t>
  </si>
  <si>
    <t>Attendance %</t>
  </si>
  <si>
    <t>performance</t>
  </si>
  <si>
    <t>rajesh</t>
  </si>
  <si>
    <t>sunita</t>
  </si>
  <si>
    <t>manoj</t>
  </si>
  <si>
    <t>kavita</t>
  </si>
  <si>
    <t>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</si>
</sst>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b/>
      <sz val="12"/>
      <color rgb="FF1F2328"/>
      <name val="Segoe UI"/>
      <family val="2"/>
    </font>
    <font>
      <b/>
      <i/>
      <sz val="22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theme="1"/>
      <name val="Calibri"/>
      <family val="2"/>
      <scheme val="minor"/>
    </font>
    <font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1D9E0"/>
      </bottom>
      <diagonal/>
    </border>
    <border>
      <left style="medium">
        <color rgb="FFD1D9E0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left" vertical="center" wrapText="1" indent="1"/>
    </xf>
    <xf numFmtId="164" fontId="2" fillId="3" borderId="1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164" fontId="2" fillId="2" borderId="3" xfId="0" applyNumberFormat="1" applyFont="1" applyFill="1" applyBorder="1" applyAlignment="1">
      <alignment horizontal="left" vertical="center" wrapText="1" indent="1"/>
    </xf>
    <xf numFmtId="14" fontId="2" fillId="2" borderId="3" xfId="0" applyNumberFormat="1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164" fontId="2" fillId="3" borderId="3" xfId="0" applyNumberFormat="1" applyFont="1" applyFill="1" applyBorder="1" applyAlignment="1">
      <alignment horizontal="left" vertical="center" wrapText="1" indent="1"/>
    </xf>
    <xf numFmtId="14" fontId="2" fillId="3" borderId="3" xfId="0" applyNumberFormat="1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9" fontId="1" fillId="2" borderId="1" xfId="1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indent="1"/>
    </xf>
    <xf numFmtId="0" fontId="8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9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1" fillId="3" borderId="5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4D8D-64DA-47CD-B5E7-F1E760B1EA92}">
  <dimension ref="A1:E23"/>
  <sheetViews>
    <sheetView workbookViewId="0">
      <selection activeCell="K5" sqref="K5"/>
    </sheetView>
  </sheetViews>
  <sheetFormatPr defaultRowHeight="15" x14ac:dyDescent="0.25"/>
  <cols>
    <col min="1" max="1" width="9.5703125" bestFit="1" customWidth="1"/>
    <col min="2" max="2" width="10.28515625" bestFit="1" customWidth="1"/>
    <col min="3" max="3" width="9" customWidth="1"/>
    <col min="4" max="4" width="14.42578125" bestFit="1" customWidth="1"/>
    <col min="5" max="5" width="14.7109375" bestFit="1" customWidth="1"/>
  </cols>
  <sheetData>
    <row r="1" spans="1:5" ht="34.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ht="34.5" x14ac:dyDescent="0.25">
      <c r="A2" s="7" t="s">
        <v>5</v>
      </c>
      <c r="B2" s="7" t="s">
        <v>6</v>
      </c>
      <c r="C2" s="7" t="s">
        <v>7</v>
      </c>
      <c r="D2" s="8">
        <v>32000</v>
      </c>
      <c r="E2" s="9">
        <v>44573</v>
      </c>
    </row>
    <row r="3" spans="1:5" ht="34.5" x14ac:dyDescent="0.25">
      <c r="A3" s="10" t="s">
        <v>8</v>
      </c>
      <c r="B3" s="10" t="s">
        <v>9</v>
      </c>
      <c r="C3" s="10" t="s">
        <v>10</v>
      </c>
      <c r="D3" s="11">
        <v>45000</v>
      </c>
      <c r="E3" s="12">
        <v>44260</v>
      </c>
    </row>
    <row r="4" spans="1:5" ht="34.5" x14ac:dyDescent="0.25">
      <c r="A4" s="7" t="s">
        <v>11</v>
      </c>
      <c r="B4" s="7" t="s">
        <v>12</v>
      </c>
      <c r="C4" s="7" t="s">
        <v>13</v>
      </c>
      <c r="D4" s="8">
        <v>38000</v>
      </c>
      <c r="E4" s="9">
        <v>44030</v>
      </c>
    </row>
    <row r="5" spans="1:5" ht="34.5" x14ac:dyDescent="0.25">
      <c r="A5" s="10" t="s">
        <v>14</v>
      </c>
      <c r="B5" s="10" t="s">
        <v>15</v>
      </c>
      <c r="C5" s="10" t="s">
        <v>10</v>
      </c>
      <c r="D5" s="11">
        <v>52000</v>
      </c>
      <c r="E5" s="12">
        <v>43779</v>
      </c>
    </row>
    <row r="6" spans="1:5" ht="34.5" x14ac:dyDescent="0.25">
      <c r="A6" s="7" t="s">
        <v>16</v>
      </c>
      <c r="B6" s="7" t="s">
        <v>17</v>
      </c>
      <c r="C6" s="7" t="s">
        <v>18</v>
      </c>
      <c r="D6" s="8">
        <v>30000</v>
      </c>
      <c r="E6" s="9">
        <v>45102</v>
      </c>
    </row>
    <row r="7" spans="1:5" ht="34.5" x14ac:dyDescent="0.25">
      <c r="A7" s="7" t="s">
        <v>19</v>
      </c>
      <c r="B7" s="7" t="s">
        <v>6</v>
      </c>
      <c r="C7" s="7" t="s">
        <v>7</v>
      </c>
      <c r="D7" s="8">
        <v>40300</v>
      </c>
      <c r="E7" s="9">
        <v>44573</v>
      </c>
    </row>
    <row r="8" spans="1:5" ht="34.5" x14ac:dyDescent="0.25">
      <c r="A8" s="7" t="s">
        <v>20</v>
      </c>
      <c r="B8" s="10" t="s">
        <v>9</v>
      </c>
      <c r="C8" s="10" t="s">
        <v>10</v>
      </c>
      <c r="D8" s="11">
        <v>40600</v>
      </c>
      <c r="E8" s="12">
        <v>44260</v>
      </c>
    </row>
    <row r="9" spans="1:5" ht="34.5" x14ac:dyDescent="0.25">
      <c r="A9" s="7" t="s">
        <v>21</v>
      </c>
      <c r="B9" s="7" t="s">
        <v>12</v>
      </c>
      <c r="C9" s="7" t="s">
        <v>13</v>
      </c>
      <c r="D9" s="8">
        <v>40900</v>
      </c>
      <c r="E9" s="9">
        <v>44030</v>
      </c>
    </row>
    <row r="10" spans="1:5" ht="34.5" x14ac:dyDescent="0.25">
      <c r="A10" s="7" t="s">
        <v>22</v>
      </c>
      <c r="B10" s="10" t="s">
        <v>15</v>
      </c>
      <c r="C10" s="10" t="s">
        <v>10</v>
      </c>
      <c r="D10" s="11">
        <v>41200</v>
      </c>
      <c r="E10" s="12">
        <v>43779</v>
      </c>
    </row>
    <row r="11" spans="1:5" ht="34.5" x14ac:dyDescent="0.25">
      <c r="A11" s="7" t="s">
        <v>23</v>
      </c>
      <c r="B11" s="7" t="s">
        <v>17</v>
      </c>
      <c r="C11" s="7" t="s">
        <v>18</v>
      </c>
      <c r="D11" s="8">
        <v>41500</v>
      </c>
      <c r="E11" s="9">
        <v>45102</v>
      </c>
    </row>
    <row r="12" spans="1:5" ht="34.5" x14ac:dyDescent="0.25">
      <c r="A12" s="7" t="s">
        <v>24</v>
      </c>
      <c r="B12" s="7" t="s">
        <v>6</v>
      </c>
      <c r="C12" s="7" t="s">
        <v>7</v>
      </c>
      <c r="D12" s="8">
        <v>41800</v>
      </c>
      <c r="E12" s="9">
        <v>44573</v>
      </c>
    </row>
    <row r="13" spans="1:5" ht="34.5" x14ac:dyDescent="0.25">
      <c r="A13" s="7" t="s">
        <v>25</v>
      </c>
      <c r="B13" s="10" t="s">
        <v>9</v>
      </c>
      <c r="C13" s="10" t="s">
        <v>10</v>
      </c>
      <c r="D13" s="11">
        <v>42100</v>
      </c>
      <c r="E13" s="12">
        <v>44260</v>
      </c>
    </row>
    <row r="14" spans="1:5" ht="34.5" x14ac:dyDescent="0.25">
      <c r="A14" s="7" t="s">
        <v>26</v>
      </c>
      <c r="B14" s="7" t="s">
        <v>12</v>
      </c>
      <c r="C14" s="7" t="s">
        <v>13</v>
      </c>
      <c r="D14" s="8">
        <v>42400</v>
      </c>
      <c r="E14" s="9">
        <v>44030</v>
      </c>
    </row>
    <row r="15" spans="1:5" ht="34.5" x14ac:dyDescent="0.25">
      <c r="A15" s="7" t="s">
        <v>27</v>
      </c>
      <c r="B15" s="10" t="s">
        <v>15</v>
      </c>
      <c r="C15" s="10" t="s">
        <v>10</v>
      </c>
      <c r="D15" s="11">
        <v>42700</v>
      </c>
      <c r="E15" s="12">
        <v>43779</v>
      </c>
    </row>
    <row r="16" spans="1:5" ht="34.5" x14ac:dyDescent="0.25">
      <c r="A16" s="7" t="s">
        <v>28</v>
      </c>
      <c r="B16" s="7" t="s">
        <v>17</v>
      </c>
      <c r="C16" s="7" t="s">
        <v>18</v>
      </c>
      <c r="D16" s="8">
        <v>43000</v>
      </c>
      <c r="E16" s="9">
        <v>45102</v>
      </c>
    </row>
    <row r="17" spans="1:5" ht="34.5" x14ac:dyDescent="0.25">
      <c r="A17" s="7" t="s">
        <v>29</v>
      </c>
      <c r="B17" s="7" t="s">
        <v>6</v>
      </c>
      <c r="C17" s="7" t="s">
        <v>7</v>
      </c>
      <c r="D17" s="8">
        <v>43300</v>
      </c>
      <c r="E17" s="9">
        <v>44573</v>
      </c>
    </row>
    <row r="18" spans="1:5" ht="34.5" x14ac:dyDescent="0.25">
      <c r="A18" s="7" t="s">
        <v>30</v>
      </c>
      <c r="B18" s="10" t="s">
        <v>9</v>
      </c>
      <c r="C18" s="10" t="s">
        <v>10</v>
      </c>
      <c r="D18" s="11">
        <v>43600</v>
      </c>
      <c r="E18" s="12">
        <v>44260</v>
      </c>
    </row>
    <row r="19" spans="1:5" ht="34.5" x14ac:dyDescent="0.25">
      <c r="A19" s="7" t="s">
        <v>31</v>
      </c>
      <c r="B19" s="7" t="s">
        <v>12</v>
      </c>
      <c r="C19" s="7" t="s">
        <v>13</v>
      </c>
      <c r="D19" s="8">
        <v>43900</v>
      </c>
      <c r="E19" s="9">
        <v>44030</v>
      </c>
    </row>
    <row r="20" spans="1:5" ht="34.5" x14ac:dyDescent="0.25">
      <c r="A20" s="7" t="s">
        <v>32</v>
      </c>
      <c r="B20" s="10" t="s">
        <v>15</v>
      </c>
      <c r="C20" s="10" t="s">
        <v>10</v>
      </c>
      <c r="D20" s="8">
        <v>44200</v>
      </c>
      <c r="E20" s="12">
        <v>43779</v>
      </c>
    </row>
    <row r="21" spans="1:5" ht="34.5" x14ac:dyDescent="0.25">
      <c r="A21" s="7" t="s">
        <v>33</v>
      </c>
      <c r="B21" s="7" t="s">
        <v>17</v>
      </c>
      <c r="C21" s="7" t="s">
        <v>18</v>
      </c>
      <c r="D21" s="11">
        <v>44500</v>
      </c>
      <c r="E21" s="9">
        <v>45102</v>
      </c>
    </row>
    <row r="22" spans="1:5" ht="18" thickBot="1" x14ac:dyDescent="0.3">
      <c r="A22" s="6"/>
    </row>
    <row r="23" spans="1:5" ht="18" thickBot="1" x14ac:dyDescent="0.3">
      <c r="A23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E7EA-AC88-45B0-96ED-8876EB6764E8}">
  <dimension ref="A1:C1048576"/>
  <sheetViews>
    <sheetView workbookViewId="0">
      <selection activeCell="G11" sqref="G11"/>
    </sheetView>
  </sheetViews>
  <sheetFormatPr defaultRowHeight="15.75" x14ac:dyDescent="0.25"/>
  <cols>
    <col min="1" max="1" width="11.85546875" customWidth="1"/>
    <col min="2" max="2" width="17.28515625" customWidth="1"/>
    <col min="3" max="3" width="15.42578125" style="23" customWidth="1"/>
  </cols>
  <sheetData>
    <row r="1" spans="1:3" ht="35.25" thickBot="1" x14ac:dyDescent="0.3">
      <c r="A1" s="16" t="s">
        <v>66</v>
      </c>
      <c r="B1" s="16" t="s">
        <v>67</v>
      </c>
      <c r="C1" s="16" t="s">
        <v>36</v>
      </c>
    </row>
    <row r="2" spans="1:3" ht="18" thickBot="1" x14ac:dyDescent="0.3">
      <c r="A2" s="17" t="s">
        <v>68</v>
      </c>
      <c r="B2" s="20">
        <v>45292</v>
      </c>
      <c r="C2" s="17">
        <v>12000</v>
      </c>
    </row>
    <row r="3" spans="1:3" ht="18" thickBot="1" x14ac:dyDescent="0.3">
      <c r="A3" s="18" t="s">
        <v>69</v>
      </c>
      <c r="B3" s="21">
        <v>45294</v>
      </c>
      <c r="C3" s="18">
        <v>25000</v>
      </c>
    </row>
    <row r="4" spans="1:3" ht="18" thickBot="1" x14ac:dyDescent="0.3">
      <c r="A4" s="17" t="s">
        <v>70</v>
      </c>
      <c r="B4" s="20">
        <v>45296</v>
      </c>
      <c r="C4" s="17">
        <v>8000</v>
      </c>
    </row>
    <row r="5" spans="1:3" ht="18" thickBot="1" x14ac:dyDescent="0.3">
      <c r="A5" s="18" t="s">
        <v>71</v>
      </c>
      <c r="B5" s="21">
        <v>45299</v>
      </c>
      <c r="C5" s="18">
        <v>32000</v>
      </c>
    </row>
    <row r="6" spans="1:3" ht="18" thickBot="1" x14ac:dyDescent="0.3">
      <c r="A6" s="17" t="s">
        <v>72</v>
      </c>
      <c r="B6" s="20">
        <v>45301</v>
      </c>
      <c r="C6" s="17">
        <v>15000</v>
      </c>
    </row>
    <row r="7" spans="1:3" ht="18" thickBot="1" x14ac:dyDescent="0.3">
      <c r="A7" s="17" t="s">
        <v>73</v>
      </c>
      <c r="B7" s="20">
        <v>45292</v>
      </c>
      <c r="C7" s="22">
        <f ca="1">RANDBETWEEN(6000,50000)</f>
        <v>42510</v>
      </c>
    </row>
    <row r="8" spans="1:3" ht="18" thickBot="1" x14ac:dyDescent="0.3">
      <c r="A8" s="18" t="s">
        <v>74</v>
      </c>
      <c r="B8" s="21">
        <v>45294</v>
      </c>
      <c r="C8" s="22">
        <f t="shared" ref="C8:C21" ca="1" si="0">RANDBETWEEN(6000,50000)</f>
        <v>16396</v>
      </c>
    </row>
    <row r="9" spans="1:3" ht="18" thickBot="1" x14ac:dyDescent="0.3">
      <c r="A9" s="17" t="s">
        <v>75</v>
      </c>
      <c r="B9" s="20">
        <v>45296</v>
      </c>
      <c r="C9" s="22">
        <f t="shared" ca="1" si="0"/>
        <v>43640</v>
      </c>
    </row>
    <row r="10" spans="1:3" ht="18" thickBot="1" x14ac:dyDescent="0.3">
      <c r="A10" s="18" t="s">
        <v>76</v>
      </c>
      <c r="B10" s="21">
        <v>45299</v>
      </c>
      <c r="C10" s="22">
        <f t="shared" ca="1" si="0"/>
        <v>15727</v>
      </c>
    </row>
    <row r="11" spans="1:3" ht="18" thickBot="1" x14ac:dyDescent="0.3">
      <c r="A11" s="17" t="s">
        <v>77</v>
      </c>
      <c r="B11" s="20">
        <v>45301</v>
      </c>
      <c r="C11" s="22">
        <f t="shared" ca="1" si="0"/>
        <v>20385</v>
      </c>
    </row>
    <row r="12" spans="1:3" ht="18" thickBot="1" x14ac:dyDescent="0.3">
      <c r="A12" s="17" t="s">
        <v>78</v>
      </c>
      <c r="B12" s="20">
        <v>45292</v>
      </c>
      <c r="C12" s="22">
        <f t="shared" ca="1" si="0"/>
        <v>29608</v>
      </c>
    </row>
    <row r="13" spans="1:3" ht="18" thickBot="1" x14ac:dyDescent="0.3">
      <c r="A13" s="18" t="s">
        <v>79</v>
      </c>
      <c r="B13" s="21">
        <v>45294</v>
      </c>
      <c r="C13" s="22">
        <f t="shared" ca="1" si="0"/>
        <v>14137</v>
      </c>
    </row>
    <row r="14" spans="1:3" ht="18" thickBot="1" x14ac:dyDescent="0.3">
      <c r="A14" s="17" t="s">
        <v>80</v>
      </c>
      <c r="B14" s="20">
        <v>45296</v>
      </c>
      <c r="C14" s="22">
        <f t="shared" ca="1" si="0"/>
        <v>12426</v>
      </c>
    </row>
    <row r="15" spans="1:3" ht="18" thickBot="1" x14ac:dyDescent="0.3">
      <c r="A15" s="18" t="s">
        <v>81</v>
      </c>
      <c r="B15" s="21">
        <v>45299</v>
      </c>
      <c r="C15" s="22">
        <f t="shared" ca="1" si="0"/>
        <v>10647</v>
      </c>
    </row>
    <row r="16" spans="1:3" ht="18" thickBot="1" x14ac:dyDescent="0.3">
      <c r="A16" s="17" t="s">
        <v>82</v>
      </c>
      <c r="B16" s="20">
        <v>45301</v>
      </c>
      <c r="C16" s="22">
        <f t="shared" ca="1" si="0"/>
        <v>34470</v>
      </c>
    </row>
    <row r="17" spans="1:3" ht="18" thickBot="1" x14ac:dyDescent="0.3">
      <c r="A17" s="17" t="s">
        <v>83</v>
      </c>
      <c r="B17" s="20">
        <v>45292</v>
      </c>
      <c r="C17" s="22">
        <f t="shared" ca="1" si="0"/>
        <v>44984</v>
      </c>
    </row>
    <row r="18" spans="1:3" ht="18" thickBot="1" x14ac:dyDescent="0.3">
      <c r="A18" s="18" t="s">
        <v>84</v>
      </c>
      <c r="B18" s="21">
        <v>45294</v>
      </c>
      <c r="C18" s="22">
        <f t="shared" ca="1" si="0"/>
        <v>39476</v>
      </c>
    </row>
    <row r="19" spans="1:3" ht="18" thickBot="1" x14ac:dyDescent="0.3">
      <c r="A19" s="17" t="s">
        <v>85</v>
      </c>
      <c r="B19" s="20">
        <v>45296</v>
      </c>
      <c r="C19" s="22">
        <f t="shared" ca="1" si="0"/>
        <v>33914</v>
      </c>
    </row>
    <row r="20" spans="1:3" ht="18" thickBot="1" x14ac:dyDescent="0.3">
      <c r="A20" s="18" t="s">
        <v>86</v>
      </c>
      <c r="B20" s="21">
        <v>45299</v>
      </c>
      <c r="C20" s="22">
        <f t="shared" ca="1" si="0"/>
        <v>7873</v>
      </c>
    </row>
    <row r="21" spans="1:3" ht="18" thickBot="1" x14ac:dyDescent="0.3">
      <c r="A21" s="17" t="s">
        <v>87</v>
      </c>
      <c r="B21" s="20">
        <v>45301</v>
      </c>
      <c r="C21" s="22">
        <f t="shared" ca="1" si="0"/>
        <v>44391</v>
      </c>
    </row>
    <row r="22" spans="1:3" x14ac:dyDescent="0.25">
      <c r="B22" t="s">
        <v>88</v>
      </c>
      <c r="C22" s="23">
        <f ca="1">SUM(C2:C21)</f>
        <v>502584</v>
      </c>
    </row>
    <row r="23" spans="1:3" x14ac:dyDescent="0.25">
      <c r="B23" t="s">
        <v>89</v>
      </c>
      <c r="C23" s="23">
        <f ca="1">AVERAGE(C2:C21)</f>
        <v>25129.200000000001</v>
      </c>
    </row>
    <row r="1048576" spans="3:3" x14ac:dyDescent="0.25">
      <c r="C1048576" s="23">
        <f ca="1">SUM(C2:C1048575)</f>
        <v>1030297.2</v>
      </c>
    </row>
  </sheetData>
  <phoneticPr fontId="3" type="noConversion"/>
  <conditionalFormatting sqref="C2:C21">
    <cfRule type="top10" dxfId="2" priority="1" bottom="1" rank="10"/>
    <cfRule type="top10" dxfId="1" priority="2" rank="10"/>
    <cfRule type="top10" dxfId="0" priority="3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4F60-6414-42E2-9C37-9A0E3FB9F228}">
  <dimension ref="A1:H22"/>
  <sheetViews>
    <sheetView topLeftCell="A5" zoomScale="89" workbookViewId="0">
      <selection activeCell="C23" sqref="C23"/>
    </sheetView>
  </sheetViews>
  <sheetFormatPr defaultRowHeight="15" x14ac:dyDescent="0.25"/>
  <cols>
    <col min="1" max="1" width="21.42578125" customWidth="1"/>
    <col min="2" max="2" width="20.7109375" customWidth="1"/>
    <col min="3" max="3" width="14.140625" style="36" customWidth="1"/>
    <col min="6" max="6" width="16.5703125" customWidth="1"/>
  </cols>
  <sheetData>
    <row r="1" spans="1:8" ht="18" thickBot="1" x14ac:dyDescent="0.3">
      <c r="A1" s="28" t="s">
        <v>90</v>
      </c>
      <c r="B1" s="28" t="s">
        <v>2</v>
      </c>
      <c r="C1" s="31" t="s">
        <v>3</v>
      </c>
      <c r="H1" s="27"/>
    </row>
    <row r="2" spans="1:8" ht="18" thickBot="1" x14ac:dyDescent="0.3">
      <c r="A2" s="29" t="s">
        <v>91</v>
      </c>
      <c r="B2" s="29" t="str">
        <f ca="1">CHOOSE(RANDBETWEEN(1,3),$F$13,$F$14,$F$15)</f>
        <v>HR</v>
      </c>
      <c r="C2" s="32">
        <v>28000</v>
      </c>
    </row>
    <row r="3" spans="1:8" ht="18" thickBot="1" x14ac:dyDescent="0.3">
      <c r="A3" s="30" t="s">
        <v>92</v>
      </c>
      <c r="B3" s="29" t="str">
        <f t="shared" ref="B3:B20" ca="1" si="0">CHOOSE(RANDBETWEEN(1,3),$F$13,$F$14,$F$15)</f>
        <v>HR</v>
      </c>
      <c r="C3" s="33">
        <v>45000</v>
      </c>
    </row>
    <row r="4" spans="1:8" ht="18" thickBot="1" x14ac:dyDescent="0.3">
      <c r="A4" s="29" t="s">
        <v>93</v>
      </c>
      <c r="B4" s="29" t="str">
        <f t="shared" ca="1" si="0"/>
        <v>FINANCE</v>
      </c>
      <c r="C4" s="32">
        <v>50000</v>
      </c>
    </row>
    <row r="5" spans="1:8" ht="18" thickBot="1" x14ac:dyDescent="0.3">
      <c r="A5" s="30" t="s">
        <v>94</v>
      </c>
      <c r="B5" s="29" t="str">
        <f t="shared" ca="1" si="0"/>
        <v>FINANCE</v>
      </c>
      <c r="C5" s="33">
        <v>42000</v>
      </c>
    </row>
    <row r="6" spans="1:8" ht="18" thickBot="1" x14ac:dyDescent="0.3">
      <c r="A6" s="29" t="s">
        <v>95</v>
      </c>
      <c r="B6" s="29" t="str">
        <f t="shared" ca="1" si="0"/>
        <v>IT</v>
      </c>
      <c r="C6" s="32">
        <v>30000</v>
      </c>
    </row>
    <row r="7" spans="1:8" ht="18" thickBot="1" x14ac:dyDescent="0.3">
      <c r="A7" s="30" t="s">
        <v>96</v>
      </c>
      <c r="B7" s="29" t="str">
        <f t="shared" ca="1" si="0"/>
        <v>FINANCE</v>
      </c>
      <c r="C7" s="33">
        <v>38000</v>
      </c>
    </row>
    <row r="8" spans="1:8" ht="18" thickBot="1" x14ac:dyDescent="0.3">
      <c r="A8" s="29" t="s">
        <v>91</v>
      </c>
      <c r="B8" s="29" t="str">
        <f t="shared" ca="1" si="0"/>
        <v>FINANCE</v>
      </c>
      <c r="C8" s="34">
        <f ca="1">RANDBETWEEN(20,50)*1000</f>
        <v>30000</v>
      </c>
    </row>
    <row r="9" spans="1:8" ht="18" thickBot="1" x14ac:dyDescent="0.3">
      <c r="A9" s="30" t="s">
        <v>92</v>
      </c>
      <c r="B9" s="29" t="str">
        <f t="shared" ca="1" si="0"/>
        <v>IT</v>
      </c>
      <c r="C9" s="34">
        <f t="shared" ref="C9:C20" ca="1" si="1">RANDBETWEEN(20,50)*1000</f>
        <v>50000</v>
      </c>
    </row>
    <row r="10" spans="1:8" ht="18" thickBot="1" x14ac:dyDescent="0.3">
      <c r="A10" s="29" t="s">
        <v>93</v>
      </c>
      <c r="B10" s="29" t="str">
        <f t="shared" ca="1" si="0"/>
        <v>FINANCE</v>
      </c>
      <c r="C10" s="34">
        <f t="shared" ca="1" si="1"/>
        <v>41000</v>
      </c>
    </row>
    <row r="11" spans="1:8" ht="18" thickBot="1" x14ac:dyDescent="0.3">
      <c r="A11" s="30" t="s">
        <v>94</v>
      </c>
      <c r="B11" s="29" t="str">
        <f t="shared" ca="1" si="0"/>
        <v>HR</v>
      </c>
      <c r="C11" s="34">
        <f t="shared" ca="1" si="1"/>
        <v>20000</v>
      </c>
    </row>
    <row r="12" spans="1:8" ht="18" thickBot="1" x14ac:dyDescent="0.3">
      <c r="A12" s="29" t="s">
        <v>95</v>
      </c>
      <c r="B12" s="29" t="str">
        <f t="shared" ca="1" si="0"/>
        <v>HR</v>
      </c>
      <c r="C12" s="34">
        <f t="shared" ca="1" si="1"/>
        <v>29000</v>
      </c>
      <c r="F12" t="s">
        <v>2</v>
      </c>
      <c r="G12" t="s">
        <v>97</v>
      </c>
    </row>
    <row r="13" spans="1:8" ht="18" thickBot="1" x14ac:dyDescent="0.3">
      <c r="A13" s="30" t="s">
        <v>96</v>
      </c>
      <c r="B13" s="29" t="str">
        <f t="shared" ca="1" si="0"/>
        <v>HR</v>
      </c>
      <c r="C13" s="34">
        <f t="shared" ca="1" si="1"/>
        <v>43000</v>
      </c>
      <c r="F13" t="s">
        <v>7</v>
      </c>
      <c r="G13">
        <f ca="1">SUMIF(B2:B20,B6,C2:C20)</f>
        <v>232000</v>
      </c>
    </row>
    <row r="14" spans="1:8" ht="18" thickBot="1" x14ac:dyDescent="0.3">
      <c r="A14" s="29" t="s">
        <v>91</v>
      </c>
      <c r="B14" s="29" t="str">
        <f t="shared" ca="1" si="0"/>
        <v>IT</v>
      </c>
      <c r="C14" s="34">
        <f t="shared" ca="1" si="1"/>
        <v>31000</v>
      </c>
      <c r="F14" t="s">
        <v>10</v>
      </c>
      <c r="G14">
        <f ca="1">SUMIF(B2:B20,B3,C2:C20)</f>
        <v>194000</v>
      </c>
    </row>
    <row r="15" spans="1:8" ht="18" thickBot="1" x14ac:dyDescent="0.3">
      <c r="A15" s="30" t="s">
        <v>92</v>
      </c>
      <c r="B15" s="29" t="str">
        <f t="shared" ca="1" si="0"/>
        <v>FINANCE</v>
      </c>
      <c r="C15" s="34">
        <f t="shared" ca="1" si="1"/>
        <v>36000</v>
      </c>
      <c r="F15" t="s">
        <v>98</v>
      </c>
      <c r="G15">
        <f ca="1">SUMIF(B2:B20,B3,C2:C20)</f>
        <v>194000</v>
      </c>
    </row>
    <row r="16" spans="1:8" ht="18" thickBot="1" x14ac:dyDescent="0.3">
      <c r="A16" s="29" t="s">
        <v>93</v>
      </c>
      <c r="B16" s="29" t="str">
        <f t="shared" ca="1" si="0"/>
        <v>IT</v>
      </c>
      <c r="C16" s="34">
        <f t="shared" ca="1" si="1"/>
        <v>23000</v>
      </c>
    </row>
    <row r="17" spans="1:3" ht="18" thickBot="1" x14ac:dyDescent="0.3">
      <c r="A17" s="30" t="s">
        <v>94</v>
      </c>
      <c r="B17" s="29" t="str">
        <f t="shared" ca="1" si="0"/>
        <v>IT</v>
      </c>
      <c r="C17" s="34">
        <f t="shared" ca="1" si="1"/>
        <v>41000</v>
      </c>
    </row>
    <row r="18" spans="1:3" ht="18" thickBot="1" x14ac:dyDescent="0.3">
      <c r="A18" s="29" t="s">
        <v>95</v>
      </c>
      <c r="B18" s="29" t="str">
        <f t="shared" ca="1" si="0"/>
        <v>HR</v>
      </c>
      <c r="C18" s="34">
        <f t="shared" ca="1" si="1"/>
        <v>29000</v>
      </c>
    </row>
    <row r="19" spans="1:3" ht="18" thickBot="1" x14ac:dyDescent="0.3">
      <c r="A19" s="30" t="s">
        <v>96</v>
      </c>
      <c r="B19" s="29" t="str">
        <f t="shared" ca="1" si="0"/>
        <v>IT</v>
      </c>
      <c r="C19" s="34">
        <f t="shared" ca="1" si="1"/>
        <v>36000</v>
      </c>
    </row>
    <row r="20" spans="1:3" ht="18" thickBot="1" x14ac:dyDescent="0.3">
      <c r="A20" s="29" t="s">
        <v>91</v>
      </c>
      <c r="B20" s="29" t="str">
        <f t="shared" ca="1" si="0"/>
        <v>IT</v>
      </c>
      <c r="C20" s="35">
        <f t="shared" ca="1" si="1"/>
        <v>21000</v>
      </c>
    </row>
    <row r="21" spans="1:3" ht="18" thickBot="1" x14ac:dyDescent="0.3">
      <c r="B21" s="29" t="s">
        <v>99</v>
      </c>
      <c r="C21" s="34">
        <f ca="1">AVERAGE(C2:C20)</f>
        <v>34894.73684210526</v>
      </c>
    </row>
    <row r="22" spans="1:3" ht="15.75" x14ac:dyDescent="0.25">
      <c r="B22" t="s">
        <v>100</v>
      </c>
      <c r="C22" s="34">
        <f ca="1">COUNT(C2:C20)</f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6C5B-1B90-4200-AC47-C0E653192E1B}">
  <dimension ref="A1:J26"/>
  <sheetViews>
    <sheetView workbookViewId="0">
      <selection activeCell="L31" sqref="L31"/>
    </sheetView>
  </sheetViews>
  <sheetFormatPr defaultRowHeight="15" x14ac:dyDescent="0.25"/>
  <cols>
    <col min="1" max="1" width="23" customWidth="1"/>
    <col min="8" max="9" width="16.42578125" customWidth="1"/>
    <col min="10" max="10" width="13" customWidth="1"/>
  </cols>
  <sheetData>
    <row r="1" spans="1:10" ht="18" thickBot="1" x14ac:dyDescent="0.3">
      <c r="A1" s="28" t="s">
        <v>56</v>
      </c>
      <c r="B1" s="28" t="s">
        <v>101</v>
      </c>
      <c r="C1" s="28" t="s">
        <v>102</v>
      </c>
      <c r="D1" s="28" t="s">
        <v>103</v>
      </c>
      <c r="E1" s="28" t="s">
        <v>104</v>
      </c>
      <c r="F1" s="28" t="s">
        <v>105</v>
      </c>
    </row>
    <row r="2" spans="1:10" ht="18" thickBot="1" x14ac:dyDescent="0.3">
      <c r="A2" s="29" t="s">
        <v>61</v>
      </c>
      <c r="B2" s="29" t="s">
        <v>106</v>
      </c>
      <c r="C2" s="29" t="s">
        <v>107</v>
      </c>
      <c r="D2" s="29" t="s">
        <v>106</v>
      </c>
      <c r="E2" s="29" t="s">
        <v>106</v>
      </c>
      <c r="F2" s="29" t="s">
        <v>106</v>
      </c>
    </row>
    <row r="3" spans="1:10" ht="18" thickBot="1" x14ac:dyDescent="0.3">
      <c r="A3" s="30" t="s">
        <v>62</v>
      </c>
      <c r="B3" s="30" t="s">
        <v>106</v>
      </c>
      <c r="C3" s="30" t="s">
        <v>106</v>
      </c>
      <c r="D3" s="30" t="s">
        <v>106</v>
      </c>
      <c r="E3" s="30" t="s">
        <v>107</v>
      </c>
      <c r="F3" s="30" t="s">
        <v>106</v>
      </c>
    </row>
    <row r="4" spans="1:10" ht="18" thickBot="1" x14ac:dyDescent="0.3">
      <c r="A4" s="29" t="s">
        <v>63</v>
      </c>
      <c r="B4" s="29" t="s">
        <v>107</v>
      </c>
      <c r="C4" s="29" t="s">
        <v>106</v>
      </c>
      <c r="D4" s="29" t="s">
        <v>106</v>
      </c>
      <c r="E4" s="29" t="s">
        <v>106</v>
      </c>
      <c r="F4" s="29" t="s">
        <v>106</v>
      </c>
    </row>
    <row r="5" spans="1:10" ht="18" thickBot="1" x14ac:dyDescent="0.3">
      <c r="A5" s="30" t="s">
        <v>64</v>
      </c>
      <c r="B5" s="30" t="s">
        <v>106</v>
      </c>
      <c r="C5" s="30" t="s">
        <v>107</v>
      </c>
      <c r="D5" s="30" t="s">
        <v>107</v>
      </c>
      <c r="E5" s="30" t="s">
        <v>106</v>
      </c>
      <c r="F5" s="30" t="s">
        <v>107</v>
      </c>
      <c r="H5" s="37"/>
    </row>
    <row r="6" spans="1:10" ht="18" thickBot="1" x14ac:dyDescent="0.3">
      <c r="A6" s="29" t="s">
        <v>61</v>
      </c>
      <c r="B6" t="str">
        <f ca="1">CHOOSE(RANDBETWEEN(1,2),"P","A")</f>
        <v>P</v>
      </c>
      <c r="C6" t="str">
        <f t="shared" ref="C6:F21" ca="1" si="0">CHOOSE(RANDBETWEEN(1,2),"P","A")</f>
        <v>P</v>
      </c>
      <c r="D6" t="str">
        <f t="shared" ca="1" si="0"/>
        <v>A</v>
      </c>
      <c r="E6" t="str">
        <f t="shared" ca="1" si="0"/>
        <v>P</v>
      </c>
      <c r="F6" t="str">
        <f t="shared" ca="1" si="0"/>
        <v>P</v>
      </c>
      <c r="H6" t="s">
        <v>108</v>
      </c>
      <c r="I6" t="s">
        <v>109</v>
      </c>
      <c r="J6" t="s">
        <v>110</v>
      </c>
    </row>
    <row r="7" spans="1:10" ht="18" thickBot="1" x14ac:dyDescent="0.3">
      <c r="A7" s="30" t="s">
        <v>62</v>
      </c>
      <c r="B7" t="str">
        <f t="shared" ref="B7:B21" ca="1" si="1">CHOOSE(RANDBETWEEN(1,2),"P","A")</f>
        <v>P</v>
      </c>
      <c r="C7" t="str">
        <f t="shared" ca="1" si="0"/>
        <v>P</v>
      </c>
      <c r="D7" t="str">
        <f t="shared" ca="1" si="0"/>
        <v>P</v>
      </c>
      <c r="E7" t="str">
        <f t="shared" ca="1" si="0"/>
        <v>A</v>
      </c>
      <c r="F7" t="str">
        <f t="shared" ca="1" si="0"/>
        <v>P</v>
      </c>
      <c r="H7" s="29" t="s">
        <v>61</v>
      </c>
      <c r="I7">
        <f>COUNTIF(B2:F2,"P")</f>
        <v>4</v>
      </c>
      <c r="J7">
        <f>COUNTIF(B2:F2,"A")</f>
        <v>1</v>
      </c>
    </row>
    <row r="8" spans="1:10" ht="18" thickBot="1" x14ac:dyDescent="0.3">
      <c r="A8" s="29" t="s">
        <v>63</v>
      </c>
      <c r="B8" t="str">
        <f t="shared" ca="1" si="1"/>
        <v>A</v>
      </c>
      <c r="C8" t="str">
        <f t="shared" ca="1" si="0"/>
        <v>P</v>
      </c>
      <c r="D8" t="str">
        <f t="shared" ca="1" si="0"/>
        <v>P</v>
      </c>
      <c r="E8" t="str">
        <f t="shared" ca="1" si="0"/>
        <v>P</v>
      </c>
      <c r="F8" t="str">
        <f t="shared" ca="1" si="0"/>
        <v>P</v>
      </c>
      <c r="H8" s="30" t="s">
        <v>62</v>
      </c>
      <c r="I8">
        <f t="shared" ref="I8:I26" si="2">COUNTIF(B3:F3,"P")</f>
        <v>4</v>
      </c>
      <c r="J8">
        <f t="shared" ref="J8:J26" si="3">COUNTIF(B3:F3,"A")</f>
        <v>1</v>
      </c>
    </row>
    <row r="9" spans="1:10" ht="18" thickBot="1" x14ac:dyDescent="0.3">
      <c r="A9" s="30" t="s">
        <v>64</v>
      </c>
      <c r="B9" t="str">
        <f t="shared" ca="1" si="1"/>
        <v>A</v>
      </c>
      <c r="C9" t="str">
        <f t="shared" ca="1" si="0"/>
        <v>P</v>
      </c>
      <c r="D9" t="str">
        <f t="shared" ca="1" si="0"/>
        <v>P</v>
      </c>
      <c r="E9" t="str">
        <f t="shared" ca="1" si="0"/>
        <v>P</v>
      </c>
      <c r="F9" t="str">
        <f t="shared" ca="1" si="0"/>
        <v>P</v>
      </c>
      <c r="H9" s="29" t="s">
        <v>63</v>
      </c>
      <c r="I9">
        <f t="shared" si="2"/>
        <v>4</v>
      </c>
      <c r="J9">
        <f t="shared" si="3"/>
        <v>1</v>
      </c>
    </row>
    <row r="10" spans="1:10" ht="18" thickBot="1" x14ac:dyDescent="0.3">
      <c r="A10" s="29" t="s">
        <v>61</v>
      </c>
      <c r="B10" t="str">
        <f t="shared" ca="1" si="1"/>
        <v>P</v>
      </c>
      <c r="C10" t="str">
        <f t="shared" ca="1" si="0"/>
        <v>A</v>
      </c>
      <c r="D10" t="str">
        <f t="shared" ca="1" si="0"/>
        <v>A</v>
      </c>
      <c r="E10" t="str">
        <f t="shared" ca="1" si="0"/>
        <v>A</v>
      </c>
      <c r="F10" t="str">
        <f t="shared" ca="1" si="0"/>
        <v>P</v>
      </c>
      <c r="H10" s="30" t="s">
        <v>64</v>
      </c>
      <c r="I10">
        <f t="shared" si="2"/>
        <v>2</v>
      </c>
      <c r="J10">
        <f t="shared" si="3"/>
        <v>3</v>
      </c>
    </row>
    <row r="11" spans="1:10" ht="18" thickBot="1" x14ac:dyDescent="0.3">
      <c r="A11" s="30" t="s">
        <v>62</v>
      </c>
      <c r="B11" t="str">
        <f t="shared" ca="1" si="1"/>
        <v>A</v>
      </c>
      <c r="C11" t="str">
        <f t="shared" ca="1" si="0"/>
        <v>A</v>
      </c>
      <c r="D11" t="str">
        <f t="shared" ca="1" si="0"/>
        <v>P</v>
      </c>
      <c r="E11" t="str">
        <f t="shared" ca="1" si="0"/>
        <v>P</v>
      </c>
      <c r="F11" t="str">
        <f t="shared" ca="1" si="0"/>
        <v>P</v>
      </c>
      <c r="H11" s="29" t="s">
        <v>61</v>
      </c>
      <c r="I11">
        <f t="shared" ca="1" si="2"/>
        <v>4</v>
      </c>
      <c r="J11">
        <f t="shared" ca="1" si="3"/>
        <v>1</v>
      </c>
    </row>
    <row r="12" spans="1:10" ht="18" thickBot="1" x14ac:dyDescent="0.3">
      <c r="A12" s="29" t="s">
        <v>63</v>
      </c>
      <c r="B12" t="str">
        <f t="shared" ca="1" si="1"/>
        <v>A</v>
      </c>
      <c r="C12" t="str">
        <f t="shared" ca="1" si="0"/>
        <v>A</v>
      </c>
      <c r="D12" t="str">
        <f t="shared" ca="1" si="0"/>
        <v>A</v>
      </c>
      <c r="E12" t="str">
        <f t="shared" ca="1" si="0"/>
        <v>A</v>
      </c>
      <c r="F12" t="str">
        <f t="shared" ca="1" si="0"/>
        <v>A</v>
      </c>
      <c r="H12" s="30" t="s">
        <v>62</v>
      </c>
      <c r="I12">
        <f t="shared" ca="1" si="2"/>
        <v>4</v>
      </c>
      <c r="J12">
        <f t="shared" ca="1" si="3"/>
        <v>1</v>
      </c>
    </row>
    <row r="13" spans="1:10" ht="18" thickBot="1" x14ac:dyDescent="0.3">
      <c r="A13" s="30" t="s">
        <v>64</v>
      </c>
      <c r="B13" t="str">
        <f t="shared" ca="1" si="1"/>
        <v>A</v>
      </c>
      <c r="C13" t="str">
        <f t="shared" ca="1" si="0"/>
        <v>P</v>
      </c>
      <c r="D13" t="str">
        <f t="shared" ca="1" si="0"/>
        <v>P</v>
      </c>
      <c r="E13" t="str">
        <f t="shared" ca="1" si="0"/>
        <v>A</v>
      </c>
      <c r="F13" t="str">
        <f t="shared" ca="1" si="0"/>
        <v>P</v>
      </c>
      <c r="H13" s="29" t="s">
        <v>63</v>
      </c>
      <c r="I13">
        <f t="shared" ca="1" si="2"/>
        <v>4</v>
      </c>
      <c r="J13">
        <f t="shared" ca="1" si="3"/>
        <v>1</v>
      </c>
    </row>
    <row r="14" spans="1:10" ht="18" thickBot="1" x14ac:dyDescent="0.3">
      <c r="A14" s="29" t="s">
        <v>61</v>
      </c>
      <c r="B14" t="str">
        <f t="shared" ca="1" si="1"/>
        <v>P</v>
      </c>
      <c r="C14" t="str">
        <f t="shared" ca="1" si="0"/>
        <v>A</v>
      </c>
      <c r="D14" t="str">
        <f t="shared" ca="1" si="0"/>
        <v>A</v>
      </c>
      <c r="E14" t="str">
        <f t="shared" ca="1" si="0"/>
        <v>A</v>
      </c>
      <c r="F14" t="str">
        <f t="shared" ca="1" si="0"/>
        <v>A</v>
      </c>
      <c r="H14" s="30" t="s">
        <v>64</v>
      </c>
      <c r="I14">
        <f t="shared" ca="1" si="2"/>
        <v>4</v>
      </c>
      <c r="J14">
        <f t="shared" ca="1" si="3"/>
        <v>1</v>
      </c>
    </row>
    <row r="15" spans="1:10" ht="18" thickBot="1" x14ac:dyDescent="0.3">
      <c r="A15" s="30" t="s">
        <v>62</v>
      </c>
      <c r="B15" t="str">
        <f t="shared" ca="1" si="1"/>
        <v>A</v>
      </c>
      <c r="C15" t="str">
        <f t="shared" ca="1" si="0"/>
        <v>A</v>
      </c>
      <c r="D15" t="str">
        <f t="shared" ca="1" si="0"/>
        <v>P</v>
      </c>
      <c r="E15" t="str">
        <f t="shared" ca="1" si="0"/>
        <v>P</v>
      </c>
      <c r="F15" t="str">
        <f t="shared" ca="1" si="0"/>
        <v>A</v>
      </c>
      <c r="H15" s="29" t="s">
        <v>61</v>
      </c>
      <c r="I15">
        <f t="shared" ca="1" si="2"/>
        <v>2</v>
      </c>
      <c r="J15">
        <f t="shared" ca="1" si="3"/>
        <v>3</v>
      </c>
    </row>
    <row r="16" spans="1:10" ht="18" thickBot="1" x14ac:dyDescent="0.3">
      <c r="A16" s="29" t="s">
        <v>63</v>
      </c>
      <c r="B16" t="str">
        <f t="shared" ca="1" si="1"/>
        <v>A</v>
      </c>
      <c r="C16" t="str">
        <f t="shared" ca="1" si="0"/>
        <v>A</v>
      </c>
      <c r="D16" t="str">
        <f t="shared" ca="1" si="0"/>
        <v>P</v>
      </c>
      <c r="E16" t="str">
        <f t="shared" ca="1" si="0"/>
        <v>A</v>
      </c>
      <c r="F16" t="str">
        <f t="shared" ca="1" si="0"/>
        <v>P</v>
      </c>
      <c r="H16" s="30" t="s">
        <v>62</v>
      </c>
      <c r="I16">
        <f t="shared" ca="1" si="2"/>
        <v>3</v>
      </c>
      <c r="J16">
        <f t="shared" ca="1" si="3"/>
        <v>2</v>
      </c>
    </row>
    <row r="17" spans="1:10" ht="18" thickBot="1" x14ac:dyDescent="0.3">
      <c r="A17" s="30" t="s">
        <v>64</v>
      </c>
      <c r="B17" t="str">
        <f t="shared" ca="1" si="1"/>
        <v>P</v>
      </c>
      <c r="C17" t="str">
        <f t="shared" ca="1" si="0"/>
        <v>A</v>
      </c>
      <c r="D17" t="str">
        <f t="shared" ca="1" si="0"/>
        <v>A</v>
      </c>
      <c r="E17" t="str">
        <f t="shared" ca="1" si="0"/>
        <v>P</v>
      </c>
      <c r="F17" t="str">
        <f t="shared" ca="1" si="0"/>
        <v>A</v>
      </c>
      <c r="H17" s="29" t="s">
        <v>63</v>
      </c>
      <c r="I17">
        <f t="shared" ca="1" si="2"/>
        <v>0</v>
      </c>
      <c r="J17">
        <f t="shared" ca="1" si="3"/>
        <v>5</v>
      </c>
    </row>
    <row r="18" spans="1:10" ht="18" thickBot="1" x14ac:dyDescent="0.3">
      <c r="A18" s="29" t="s">
        <v>61</v>
      </c>
      <c r="B18" t="str">
        <f t="shared" ca="1" si="1"/>
        <v>A</v>
      </c>
      <c r="C18" t="str">
        <f t="shared" ca="1" si="0"/>
        <v>A</v>
      </c>
      <c r="D18" t="str">
        <f t="shared" ca="1" si="0"/>
        <v>P</v>
      </c>
      <c r="E18" t="str">
        <f t="shared" ca="1" si="0"/>
        <v>P</v>
      </c>
      <c r="F18" t="str">
        <f t="shared" ca="1" si="0"/>
        <v>A</v>
      </c>
      <c r="H18" s="30" t="s">
        <v>64</v>
      </c>
      <c r="I18">
        <f t="shared" ca="1" si="2"/>
        <v>3</v>
      </c>
      <c r="J18">
        <f t="shared" ca="1" si="3"/>
        <v>2</v>
      </c>
    </row>
    <row r="19" spans="1:10" ht="18" thickBot="1" x14ac:dyDescent="0.3">
      <c r="A19" s="30" t="s">
        <v>62</v>
      </c>
      <c r="B19" t="str">
        <f t="shared" ca="1" si="1"/>
        <v>P</v>
      </c>
      <c r="C19" t="str">
        <f t="shared" ca="1" si="0"/>
        <v>P</v>
      </c>
      <c r="D19" t="str">
        <f t="shared" ca="1" si="0"/>
        <v>A</v>
      </c>
      <c r="E19" t="str">
        <f t="shared" ca="1" si="0"/>
        <v>P</v>
      </c>
      <c r="F19" t="str">
        <f t="shared" ca="1" si="0"/>
        <v>P</v>
      </c>
      <c r="H19" s="29" t="s">
        <v>61</v>
      </c>
      <c r="I19">
        <f t="shared" ca="1" si="2"/>
        <v>1</v>
      </c>
      <c r="J19">
        <f t="shared" ca="1" si="3"/>
        <v>4</v>
      </c>
    </row>
    <row r="20" spans="1:10" ht="18" thickBot="1" x14ac:dyDescent="0.3">
      <c r="A20" s="29" t="s">
        <v>63</v>
      </c>
      <c r="B20" t="str">
        <f t="shared" ca="1" si="1"/>
        <v>A</v>
      </c>
      <c r="C20" t="str">
        <f t="shared" ca="1" si="0"/>
        <v>P</v>
      </c>
      <c r="D20" t="str">
        <f t="shared" ca="1" si="0"/>
        <v>A</v>
      </c>
      <c r="E20" t="str">
        <f t="shared" ca="1" si="0"/>
        <v>P</v>
      </c>
      <c r="F20" t="str">
        <f t="shared" ca="1" si="0"/>
        <v>P</v>
      </c>
      <c r="H20" s="30" t="s">
        <v>62</v>
      </c>
      <c r="I20">
        <f t="shared" ca="1" si="2"/>
        <v>2</v>
      </c>
      <c r="J20">
        <f t="shared" ca="1" si="3"/>
        <v>3</v>
      </c>
    </row>
    <row r="21" spans="1:10" ht="18" thickBot="1" x14ac:dyDescent="0.3">
      <c r="A21" s="30" t="s">
        <v>64</v>
      </c>
      <c r="B21" t="str">
        <f t="shared" ca="1" si="1"/>
        <v>P</v>
      </c>
      <c r="C21" t="str">
        <f t="shared" ca="1" si="0"/>
        <v>A</v>
      </c>
      <c r="D21" t="str">
        <f t="shared" ca="1" si="0"/>
        <v>P</v>
      </c>
      <c r="E21" t="str">
        <f t="shared" ca="1" si="0"/>
        <v>P</v>
      </c>
      <c r="F21" t="str">
        <f t="shared" ca="1" si="0"/>
        <v>A</v>
      </c>
      <c r="H21" s="29" t="s">
        <v>63</v>
      </c>
      <c r="I21">
        <f t="shared" ca="1" si="2"/>
        <v>2</v>
      </c>
      <c r="J21">
        <f t="shared" ca="1" si="3"/>
        <v>3</v>
      </c>
    </row>
    <row r="22" spans="1:10" ht="18" thickBot="1" x14ac:dyDescent="0.3">
      <c r="H22" s="30" t="s">
        <v>64</v>
      </c>
      <c r="I22">
        <f t="shared" ca="1" si="2"/>
        <v>2</v>
      </c>
      <c r="J22">
        <f t="shared" ca="1" si="3"/>
        <v>3</v>
      </c>
    </row>
    <row r="23" spans="1:10" ht="18" thickBot="1" x14ac:dyDescent="0.3">
      <c r="H23" s="29" t="s">
        <v>61</v>
      </c>
      <c r="I23">
        <f t="shared" ca="1" si="2"/>
        <v>2</v>
      </c>
      <c r="J23">
        <f t="shared" ca="1" si="3"/>
        <v>3</v>
      </c>
    </row>
    <row r="24" spans="1:10" ht="18" thickBot="1" x14ac:dyDescent="0.3">
      <c r="H24" s="30" t="s">
        <v>62</v>
      </c>
      <c r="I24">
        <f t="shared" ca="1" si="2"/>
        <v>4</v>
      </c>
      <c r="J24">
        <f t="shared" ca="1" si="3"/>
        <v>1</v>
      </c>
    </row>
    <row r="25" spans="1:10" ht="18" thickBot="1" x14ac:dyDescent="0.3">
      <c r="H25" s="29" t="s">
        <v>63</v>
      </c>
      <c r="I25">
        <f t="shared" ca="1" si="2"/>
        <v>3</v>
      </c>
      <c r="J25">
        <f t="shared" ca="1" si="3"/>
        <v>2</v>
      </c>
    </row>
    <row r="26" spans="1:10" ht="18" thickBot="1" x14ac:dyDescent="0.3">
      <c r="H26" s="30" t="s">
        <v>64</v>
      </c>
      <c r="I26">
        <f t="shared" ca="1" si="2"/>
        <v>3</v>
      </c>
      <c r="J26">
        <f t="shared" ca="1" si="3"/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1A92-AC09-4C1F-9CAF-44E340EA086E}">
  <dimension ref="A1:C6"/>
  <sheetViews>
    <sheetView workbookViewId="0">
      <selection activeCell="A9" sqref="A9"/>
    </sheetView>
  </sheetViews>
  <sheetFormatPr defaultRowHeight="15" x14ac:dyDescent="0.25"/>
  <cols>
    <col min="1" max="1" width="16" customWidth="1"/>
  </cols>
  <sheetData>
    <row r="1" spans="1:3" x14ac:dyDescent="0.25">
      <c r="A1" t="s">
        <v>111</v>
      </c>
    </row>
    <row r="2" spans="1:3" x14ac:dyDescent="0.25">
      <c r="A2" t="s">
        <v>112</v>
      </c>
      <c r="B2" t="str">
        <f>LEFT(A2,3)</f>
        <v>EMP</v>
      </c>
      <c r="C2" t="str">
        <f>RIGHT(A2,LEN(A2)-FIND("-",A2))</f>
        <v>102567</v>
      </c>
    </row>
    <row r="3" spans="1:3" x14ac:dyDescent="0.25">
      <c r="A3" t="s">
        <v>113</v>
      </c>
      <c r="B3" t="str">
        <f t="shared" ref="B3:B6" si="0">LEFT(A3,3)</f>
        <v>EMP</v>
      </c>
      <c r="C3" t="str">
        <f t="shared" ref="C3:C6" si="1">RIGHT(A3,LEN(A3)-FIND("-",A3))</f>
        <v>2045</v>
      </c>
    </row>
    <row r="4" spans="1:3" x14ac:dyDescent="0.25">
      <c r="A4" t="s">
        <v>114</v>
      </c>
      <c r="B4" t="str">
        <f t="shared" si="0"/>
        <v>EMP</v>
      </c>
      <c r="C4" t="str">
        <f t="shared" si="1"/>
        <v>3098</v>
      </c>
    </row>
    <row r="5" spans="1:3" x14ac:dyDescent="0.25">
      <c r="A5" t="s">
        <v>115</v>
      </c>
      <c r="B5" t="str">
        <f t="shared" si="0"/>
        <v>EMP</v>
      </c>
      <c r="C5" t="str">
        <f t="shared" si="1"/>
        <v>4512</v>
      </c>
    </row>
    <row r="6" spans="1:3" x14ac:dyDescent="0.25">
      <c r="A6" t="s">
        <v>116</v>
      </c>
      <c r="B6" t="str">
        <f t="shared" si="0"/>
        <v>EMP</v>
      </c>
      <c r="C6" t="str">
        <f t="shared" si="1"/>
        <v>5679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E67C-D67A-4592-8A14-7E4195172198}">
  <dimension ref="A1:D6"/>
  <sheetViews>
    <sheetView tabSelected="1" workbookViewId="0">
      <selection activeCell="D2" sqref="D2"/>
    </sheetView>
  </sheetViews>
  <sheetFormatPr defaultRowHeight="15" x14ac:dyDescent="0.25"/>
  <cols>
    <col min="1" max="1" width="19.28515625" customWidth="1"/>
    <col min="2" max="2" width="20" customWidth="1"/>
    <col min="3" max="3" width="16.85546875" customWidth="1"/>
    <col min="4" max="4" width="18" customWidth="1"/>
  </cols>
  <sheetData>
    <row r="1" spans="1:4" x14ac:dyDescent="0.25">
      <c r="A1" t="s">
        <v>117</v>
      </c>
      <c r="B1" t="s">
        <v>118</v>
      </c>
      <c r="C1" t="s">
        <v>119</v>
      </c>
      <c r="D1" t="s">
        <v>120</v>
      </c>
    </row>
    <row r="2" spans="1:4" x14ac:dyDescent="0.25">
      <c r="A2" t="s">
        <v>121</v>
      </c>
      <c r="B2">
        <v>45</v>
      </c>
      <c r="C2">
        <v>92</v>
      </c>
      <c r="D2" t="str">
        <f>IF(AND(C2&gt;=90,B2&gt;=40),"excellent",IF(C2&gt;80,"good","need improvement"))</f>
        <v>excellent</v>
      </c>
    </row>
    <row r="3" spans="1:4" x14ac:dyDescent="0.25">
      <c r="A3" t="s">
        <v>122</v>
      </c>
      <c r="B3">
        <v>38</v>
      </c>
      <c r="C3">
        <v>85</v>
      </c>
      <c r="D3" t="str">
        <f t="shared" ref="D3:D6" si="0">IF(AND(C3&gt;=90,B3&gt;=40),"excellent",IF(C3&gt;80,"good","need improvement"))</f>
        <v>good</v>
      </c>
    </row>
    <row r="4" spans="1:4" x14ac:dyDescent="0.25">
      <c r="A4" t="s">
        <v>123</v>
      </c>
      <c r="B4">
        <v>50</v>
      </c>
      <c r="C4">
        <v>95</v>
      </c>
      <c r="D4" t="str">
        <f t="shared" si="0"/>
        <v>excellent</v>
      </c>
    </row>
    <row r="5" spans="1:4" x14ac:dyDescent="0.25">
      <c r="A5" t="s">
        <v>124</v>
      </c>
      <c r="B5">
        <v>30</v>
      </c>
      <c r="C5">
        <v>70</v>
      </c>
      <c r="D5" t="str">
        <f t="shared" si="0"/>
        <v>need improvement</v>
      </c>
    </row>
    <row r="6" spans="1:4" x14ac:dyDescent="0.25">
      <c r="A6" t="s">
        <v>125</v>
      </c>
      <c r="B6">
        <v>42</v>
      </c>
      <c r="C6">
        <v>88</v>
      </c>
      <c r="D6" t="str">
        <f t="shared" si="0"/>
        <v>good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E4F3-7D19-4813-9461-C83F80E237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2DD7-305F-421E-ADAF-7D879167ABD0}">
  <dimension ref="A1:D22"/>
  <sheetViews>
    <sheetView topLeftCell="A19" workbookViewId="0">
      <selection activeCell="J7" sqref="J7"/>
    </sheetView>
  </sheetViews>
  <sheetFormatPr defaultRowHeight="15" x14ac:dyDescent="0.25"/>
  <cols>
    <col min="1" max="1" width="14.42578125" customWidth="1"/>
    <col min="2" max="2" width="12" customWidth="1"/>
    <col min="3" max="3" width="17.42578125" style="15" customWidth="1"/>
    <col min="4" max="4" width="15.5703125" customWidth="1"/>
  </cols>
  <sheetData>
    <row r="1" spans="1:4" x14ac:dyDescent="0.25">
      <c r="A1" s="24" t="s">
        <v>54</v>
      </c>
      <c r="B1" s="25"/>
      <c r="C1" s="25"/>
      <c r="D1" s="25"/>
    </row>
    <row r="2" spans="1:4" ht="15.75" thickBot="1" x14ac:dyDescent="0.3">
      <c r="A2" s="26"/>
      <c r="B2" s="26"/>
      <c r="C2" s="26"/>
      <c r="D2" s="26"/>
    </row>
    <row r="3" spans="1:4" ht="35.25" thickBot="1" x14ac:dyDescent="0.3">
      <c r="A3" s="1" t="s">
        <v>34</v>
      </c>
      <c r="B3" s="1" t="s">
        <v>35</v>
      </c>
      <c r="C3" s="14" t="s">
        <v>36</v>
      </c>
      <c r="D3" s="1" t="s">
        <v>37</v>
      </c>
    </row>
    <row r="4" spans="1:4" ht="35.25" thickBot="1" x14ac:dyDescent="0.3">
      <c r="A4" s="2" t="s">
        <v>38</v>
      </c>
      <c r="B4" s="2" t="s">
        <v>39</v>
      </c>
      <c r="C4" s="4">
        <v>45000</v>
      </c>
      <c r="D4" s="2" t="s">
        <v>40</v>
      </c>
    </row>
    <row r="5" spans="1:4" ht="35.25" thickBot="1" x14ac:dyDescent="0.3">
      <c r="A5" s="3" t="s">
        <v>41</v>
      </c>
      <c r="B5" s="3" t="s">
        <v>42</v>
      </c>
      <c r="C5" s="5">
        <v>1200</v>
      </c>
      <c r="D5" s="3" t="s">
        <v>43</v>
      </c>
    </row>
    <row r="6" spans="1:4" ht="52.5" thickBot="1" x14ac:dyDescent="0.3">
      <c r="A6" s="2" t="s">
        <v>44</v>
      </c>
      <c r="B6" s="2" t="s">
        <v>45</v>
      </c>
      <c r="C6" s="4">
        <v>18000</v>
      </c>
      <c r="D6" s="2" t="s">
        <v>46</v>
      </c>
    </row>
    <row r="7" spans="1:4" ht="52.5" thickBot="1" x14ac:dyDescent="0.3">
      <c r="A7" s="3" t="s">
        <v>47</v>
      </c>
      <c r="B7" s="3" t="s">
        <v>48</v>
      </c>
      <c r="C7" s="5">
        <v>62000</v>
      </c>
      <c r="D7" s="3" t="s">
        <v>49</v>
      </c>
    </row>
    <row r="8" spans="1:4" ht="35.25" thickBot="1" x14ac:dyDescent="0.3">
      <c r="A8" s="2" t="s">
        <v>50</v>
      </c>
      <c r="B8" s="2" t="s">
        <v>39</v>
      </c>
      <c r="C8" s="4">
        <v>48500</v>
      </c>
      <c r="D8" s="2" t="s">
        <v>40</v>
      </c>
    </row>
    <row r="9" spans="1:4" ht="35.25" thickBot="1" x14ac:dyDescent="0.3">
      <c r="A9" s="3" t="s">
        <v>41</v>
      </c>
      <c r="B9" s="3" t="s">
        <v>42</v>
      </c>
      <c r="C9" s="5">
        <v>55280</v>
      </c>
      <c r="D9" s="3" t="s">
        <v>43</v>
      </c>
    </row>
    <row r="10" spans="1:4" ht="52.5" thickBot="1" x14ac:dyDescent="0.3">
      <c r="A10" s="2" t="s">
        <v>44</v>
      </c>
      <c r="B10" s="2" t="s">
        <v>45</v>
      </c>
      <c r="C10" s="4">
        <v>62060</v>
      </c>
      <c r="D10" s="2" t="s">
        <v>46</v>
      </c>
    </row>
    <row r="11" spans="1:4" ht="52.5" thickBot="1" x14ac:dyDescent="0.3">
      <c r="A11" s="3" t="s">
        <v>47</v>
      </c>
      <c r="B11" s="3" t="s">
        <v>48</v>
      </c>
      <c r="C11" s="5">
        <v>68840</v>
      </c>
      <c r="D11" s="3" t="s">
        <v>49</v>
      </c>
    </row>
    <row r="12" spans="1:4" ht="35.25" thickBot="1" x14ac:dyDescent="0.3">
      <c r="A12" s="2" t="s">
        <v>51</v>
      </c>
      <c r="B12" s="2" t="s">
        <v>39</v>
      </c>
      <c r="C12" s="4">
        <v>75620</v>
      </c>
      <c r="D12" s="2" t="s">
        <v>40</v>
      </c>
    </row>
    <row r="13" spans="1:4" ht="35.25" thickBot="1" x14ac:dyDescent="0.3">
      <c r="A13" s="3" t="s">
        <v>41</v>
      </c>
      <c r="B13" s="3" t="s">
        <v>42</v>
      </c>
      <c r="C13" s="5">
        <v>82400</v>
      </c>
      <c r="D13" s="3" t="s">
        <v>43</v>
      </c>
    </row>
    <row r="14" spans="1:4" ht="52.5" thickBot="1" x14ac:dyDescent="0.3">
      <c r="A14" s="2" t="s">
        <v>44</v>
      </c>
      <c r="B14" s="2" t="s">
        <v>45</v>
      </c>
      <c r="C14" s="4">
        <v>89180</v>
      </c>
      <c r="D14" s="2" t="s">
        <v>46</v>
      </c>
    </row>
    <row r="15" spans="1:4" ht="52.5" thickBot="1" x14ac:dyDescent="0.3">
      <c r="A15" s="3" t="s">
        <v>47</v>
      </c>
      <c r="B15" s="3" t="s">
        <v>48</v>
      </c>
      <c r="C15" s="5">
        <v>95960</v>
      </c>
      <c r="D15" s="3" t="s">
        <v>49</v>
      </c>
    </row>
    <row r="16" spans="1:4" ht="35.25" thickBot="1" x14ac:dyDescent="0.3">
      <c r="A16" s="2" t="s">
        <v>52</v>
      </c>
      <c r="B16" s="2" t="s">
        <v>39</v>
      </c>
      <c r="C16" s="4">
        <v>102740</v>
      </c>
      <c r="D16" s="2" t="s">
        <v>40</v>
      </c>
    </row>
    <row r="17" spans="1:4" ht="35.25" thickBot="1" x14ac:dyDescent="0.3">
      <c r="A17" s="3" t="s">
        <v>41</v>
      </c>
      <c r="B17" s="3" t="s">
        <v>42</v>
      </c>
      <c r="C17" s="5">
        <v>109520</v>
      </c>
      <c r="D17" s="3" t="s">
        <v>43</v>
      </c>
    </row>
    <row r="18" spans="1:4" ht="52.5" thickBot="1" x14ac:dyDescent="0.3">
      <c r="A18" s="2" t="s">
        <v>44</v>
      </c>
      <c r="B18" s="2" t="s">
        <v>45</v>
      </c>
      <c r="C18" s="4">
        <v>116300</v>
      </c>
      <c r="D18" s="2" t="s">
        <v>46</v>
      </c>
    </row>
    <row r="19" spans="1:4" ht="52.5" thickBot="1" x14ac:dyDescent="0.3">
      <c r="A19" s="3" t="s">
        <v>47</v>
      </c>
      <c r="B19" s="3" t="s">
        <v>48</v>
      </c>
      <c r="C19" s="5">
        <v>123080</v>
      </c>
      <c r="D19" s="3" t="s">
        <v>49</v>
      </c>
    </row>
    <row r="20" spans="1:4" ht="35.25" thickBot="1" x14ac:dyDescent="0.3">
      <c r="A20" s="2" t="s">
        <v>53</v>
      </c>
      <c r="B20" s="2" t="s">
        <v>39</v>
      </c>
      <c r="C20" s="4">
        <v>129860</v>
      </c>
      <c r="D20" s="2" t="s">
        <v>40</v>
      </c>
    </row>
    <row r="21" spans="1:4" ht="35.25" thickBot="1" x14ac:dyDescent="0.3">
      <c r="A21" s="3" t="s">
        <v>41</v>
      </c>
      <c r="B21" s="3" t="s">
        <v>42</v>
      </c>
      <c r="C21" s="5">
        <v>136640</v>
      </c>
      <c r="D21" s="3" t="s">
        <v>43</v>
      </c>
    </row>
    <row r="22" spans="1:4" ht="52.5" thickBot="1" x14ac:dyDescent="0.3">
      <c r="A22" s="2" t="s">
        <v>44</v>
      </c>
      <c r="B22" s="2" t="s">
        <v>45</v>
      </c>
      <c r="C22" s="4">
        <v>143420</v>
      </c>
      <c r="D22" s="2" t="s">
        <v>46</v>
      </c>
    </row>
  </sheetData>
  <mergeCells count="1">
    <mergeCell ref="A1:D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C7C6-64E8-4D51-B329-D817D65CE65E}">
  <dimension ref="A1:F21"/>
  <sheetViews>
    <sheetView workbookViewId="0">
      <selection activeCell="F2" sqref="F2:F21"/>
    </sheetView>
  </sheetViews>
  <sheetFormatPr defaultRowHeight="15" x14ac:dyDescent="0.25"/>
  <cols>
    <col min="1" max="1" width="5.7109375" bestFit="1" customWidth="1"/>
    <col min="2" max="2" width="11" customWidth="1"/>
    <col min="3" max="3" width="8.140625" bestFit="1" customWidth="1"/>
    <col min="4" max="4" width="10.5703125" customWidth="1"/>
    <col min="5" max="5" width="9.85546875" customWidth="1"/>
    <col min="6" max="6" width="14.5703125" customWidth="1"/>
  </cols>
  <sheetData>
    <row r="1" spans="1:6" ht="52.5" thickBot="1" x14ac:dyDescent="0.3">
      <c r="A1" s="16" t="s">
        <v>55</v>
      </c>
      <c r="B1" s="16" t="s">
        <v>56</v>
      </c>
      <c r="C1" s="16" t="s">
        <v>57</v>
      </c>
      <c r="D1" s="16" t="s">
        <v>58</v>
      </c>
      <c r="E1" s="16" t="s">
        <v>59</v>
      </c>
      <c r="F1" s="16" t="s">
        <v>60</v>
      </c>
    </row>
    <row r="2" spans="1:6" ht="18" thickBot="1" x14ac:dyDescent="0.3">
      <c r="A2" s="17">
        <v>1</v>
      </c>
      <c r="B2" s="17" t="s">
        <v>61</v>
      </c>
      <c r="C2" s="17">
        <v>78</v>
      </c>
      <c r="D2" s="17">
        <v>82</v>
      </c>
      <c r="E2" s="17">
        <v>74</v>
      </c>
      <c r="F2" s="19">
        <f>AVERAGE(C2:E2)</f>
        <v>78</v>
      </c>
    </row>
    <row r="3" spans="1:6" ht="18" thickBot="1" x14ac:dyDescent="0.3">
      <c r="A3" s="18">
        <v>2</v>
      </c>
      <c r="B3" s="18" t="s">
        <v>62</v>
      </c>
      <c r="C3" s="18">
        <v>65</v>
      </c>
      <c r="D3" s="18">
        <v>70</v>
      </c>
      <c r="E3" s="18">
        <v>68</v>
      </c>
      <c r="F3" s="19">
        <f t="shared" ref="F3:F21" si="0">AVERAGE(C3:E3)</f>
        <v>67.666666666666671</v>
      </c>
    </row>
    <row r="4" spans="1:6" ht="18" thickBot="1" x14ac:dyDescent="0.3">
      <c r="A4" s="17">
        <v>3</v>
      </c>
      <c r="B4" s="17" t="s">
        <v>63</v>
      </c>
      <c r="C4" s="17">
        <v>90</v>
      </c>
      <c r="D4" s="17">
        <v>88</v>
      </c>
      <c r="E4" s="17">
        <v>92</v>
      </c>
      <c r="F4" s="19">
        <f t="shared" si="0"/>
        <v>90</v>
      </c>
    </row>
    <row r="5" spans="1:6" ht="18" thickBot="1" x14ac:dyDescent="0.3">
      <c r="A5" s="18">
        <v>4</v>
      </c>
      <c r="B5" s="18" t="s">
        <v>64</v>
      </c>
      <c r="C5" s="18">
        <v>35</v>
      </c>
      <c r="D5" s="18">
        <v>40</v>
      </c>
      <c r="E5" s="18">
        <v>38</v>
      </c>
      <c r="F5" s="19">
        <f t="shared" si="0"/>
        <v>37.666666666666664</v>
      </c>
    </row>
    <row r="6" spans="1:6" ht="18" thickBot="1" x14ac:dyDescent="0.3">
      <c r="A6" s="17">
        <v>5</v>
      </c>
      <c r="B6" s="17" t="s">
        <v>65</v>
      </c>
      <c r="C6" s="17">
        <v>55</v>
      </c>
      <c r="D6" s="17">
        <v>60</v>
      </c>
      <c r="E6" s="17">
        <v>58</v>
      </c>
      <c r="F6" s="19">
        <f t="shared" si="0"/>
        <v>57.666666666666664</v>
      </c>
    </row>
    <row r="7" spans="1:6" ht="18" thickBot="1" x14ac:dyDescent="0.3">
      <c r="A7" s="17">
        <v>6</v>
      </c>
      <c r="B7" s="17" t="s">
        <v>61</v>
      </c>
      <c r="C7">
        <f ca="1">RANDBETWEEN(40,100)</f>
        <v>50</v>
      </c>
      <c r="D7">
        <f t="shared" ref="D7:E21" ca="1" si="1">RANDBETWEEN(40,100)</f>
        <v>64</v>
      </c>
      <c r="E7">
        <f t="shared" ca="1" si="1"/>
        <v>85</v>
      </c>
      <c r="F7" s="19">
        <f t="shared" ca="1" si="0"/>
        <v>66.333333333333329</v>
      </c>
    </row>
    <row r="8" spans="1:6" ht="18" thickBot="1" x14ac:dyDescent="0.3">
      <c r="A8" s="18">
        <v>7</v>
      </c>
      <c r="B8" s="18" t="s">
        <v>62</v>
      </c>
      <c r="C8">
        <f t="shared" ref="C8:C21" ca="1" si="2">RANDBETWEEN(40,100)</f>
        <v>70</v>
      </c>
      <c r="D8">
        <f t="shared" ca="1" si="1"/>
        <v>45</v>
      </c>
      <c r="E8">
        <f t="shared" ca="1" si="1"/>
        <v>45</v>
      </c>
      <c r="F8" s="19">
        <f t="shared" ca="1" si="0"/>
        <v>53.333333333333336</v>
      </c>
    </row>
    <row r="9" spans="1:6" ht="18" thickBot="1" x14ac:dyDescent="0.3">
      <c r="A9" s="17">
        <v>8</v>
      </c>
      <c r="B9" s="17" t="s">
        <v>63</v>
      </c>
      <c r="C9">
        <f t="shared" ca="1" si="2"/>
        <v>67</v>
      </c>
      <c r="D9">
        <f t="shared" ca="1" si="1"/>
        <v>53</v>
      </c>
      <c r="E9">
        <f t="shared" ca="1" si="1"/>
        <v>94</v>
      </c>
      <c r="F9" s="19">
        <f t="shared" ca="1" si="0"/>
        <v>71.333333333333329</v>
      </c>
    </row>
    <row r="10" spans="1:6" ht="18" thickBot="1" x14ac:dyDescent="0.3">
      <c r="A10" s="18">
        <v>9</v>
      </c>
      <c r="B10" s="18" t="s">
        <v>64</v>
      </c>
      <c r="C10">
        <f t="shared" ca="1" si="2"/>
        <v>59</v>
      </c>
      <c r="D10">
        <f t="shared" ca="1" si="1"/>
        <v>42</v>
      </c>
      <c r="E10">
        <f t="shared" ca="1" si="1"/>
        <v>82</v>
      </c>
      <c r="F10" s="19">
        <f t="shared" ca="1" si="0"/>
        <v>61</v>
      </c>
    </row>
    <row r="11" spans="1:6" ht="18" thickBot="1" x14ac:dyDescent="0.3">
      <c r="A11" s="17">
        <v>10</v>
      </c>
      <c r="B11" s="17" t="s">
        <v>65</v>
      </c>
      <c r="C11">
        <f t="shared" ca="1" si="2"/>
        <v>81</v>
      </c>
      <c r="D11">
        <f t="shared" ca="1" si="1"/>
        <v>54</v>
      </c>
      <c r="E11">
        <f t="shared" ca="1" si="1"/>
        <v>87</v>
      </c>
      <c r="F11" s="19">
        <f t="shared" ca="1" si="0"/>
        <v>74</v>
      </c>
    </row>
    <row r="12" spans="1:6" ht="18" thickBot="1" x14ac:dyDescent="0.3">
      <c r="A12" s="17">
        <v>11</v>
      </c>
      <c r="B12" s="17" t="s">
        <v>61</v>
      </c>
      <c r="C12">
        <f t="shared" ca="1" si="2"/>
        <v>72</v>
      </c>
      <c r="D12">
        <f t="shared" ca="1" si="1"/>
        <v>90</v>
      </c>
      <c r="E12">
        <f t="shared" ca="1" si="1"/>
        <v>74</v>
      </c>
      <c r="F12" s="19">
        <f t="shared" ca="1" si="0"/>
        <v>78.666666666666671</v>
      </c>
    </row>
    <row r="13" spans="1:6" ht="18" thickBot="1" x14ac:dyDescent="0.3">
      <c r="A13" s="18">
        <v>12</v>
      </c>
      <c r="B13" s="18" t="s">
        <v>62</v>
      </c>
      <c r="C13">
        <f t="shared" ca="1" si="2"/>
        <v>42</v>
      </c>
      <c r="D13">
        <f t="shared" ca="1" si="1"/>
        <v>55</v>
      </c>
      <c r="E13">
        <f t="shared" ca="1" si="1"/>
        <v>43</v>
      </c>
      <c r="F13" s="19">
        <f t="shared" ca="1" si="0"/>
        <v>46.666666666666664</v>
      </c>
    </row>
    <row r="14" spans="1:6" ht="18" thickBot="1" x14ac:dyDescent="0.3">
      <c r="A14" s="17">
        <v>13</v>
      </c>
      <c r="B14" s="17" t="s">
        <v>63</v>
      </c>
      <c r="C14">
        <f t="shared" ca="1" si="2"/>
        <v>78</v>
      </c>
      <c r="D14">
        <f t="shared" ca="1" si="1"/>
        <v>82</v>
      </c>
      <c r="E14">
        <f t="shared" ca="1" si="1"/>
        <v>46</v>
      </c>
      <c r="F14" s="19">
        <f t="shared" ca="1" si="0"/>
        <v>68.666666666666671</v>
      </c>
    </row>
    <row r="15" spans="1:6" ht="18" thickBot="1" x14ac:dyDescent="0.3">
      <c r="A15" s="18">
        <v>14</v>
      </c>
      <c r="B15" s="18" t="s">
        <v>64</v>
      </c>
      <c r="C15">
        <f t="shared" ca="1" si="2"/>
        <v>71</v>
      </c>
      <c r="D15">
        <f t="shared" ca="1" si="1"/>
        <v>62</v>
      </c>
      <c r="E15">
        <f t="shared" ca="1" si="1"/>
        <v>91</v>
      </c>
      <c r="F15" s="19">
        <f t="shared" ca="1" si="0"/>
        <v>74.666666666666671</v>
      </c>
    </row>
    <row r="16" spans="1:6" ht="18" thickBot="1" x14ac:dyDescent="0.3">
      <c r="A16" s="17">
        <v>15</v>
      </c>
      <c r="B16" s="17" t="s">
        <v>65</v>
      </c>
      <c r="C16">
        <f t="shared" ca="1" si="2"/>
        <v>64</v>
      </c>
      <c r="D16">
        <f t="shared" ca="1" si="1"/>
        <v>45</v>
      </c>
      <c r="E16">
        <f t="shared" ca="1" si="1"/>
        <v>59</v>
      </c>
      <c r="F16" s="19">
        <f t="shared" ca="1" si="0"/>
        <v>56</v>
      </c>
    </row>
    <row r="17" spans="1:6" ht="18" thickBot="1" x14ac:dyDescent="0.3">
      <c r="A17" s="17">
        <v>16</v>
      </c>
      <c r="B17" s="17" t="s">
        <v>61</v>
      </c>
      <c r="C17">
        <f t="shared" ca="1" si="2"/>
        <v>59</v>
      </c>
      <c r="D17">
        <f t="shared" ca="1" si="1"/>
        <v>85</v>
      </c>
      <c r="E17">
        <f t="shared" ca="1" si="1"/>
        <v>84</v>
      </c>
      <c r="F17" s="19">
        <f t="shared" ca="1" si="0"/>
        <v>76</v>
      </c>
    </row>
    <row r="18" spans="1:6" ht="18" thickBot="1" x14ac:dyDescent="0.3">
      <c r="A18" s="18">
        <v>17</v>
      </c>
      <c r="B18" s="18" t="s">
        <v>62</v>
      </c>
      <c r="C18">
        <f t="shared" ca="1" si="2"/>
        <v>85</v>
      </c>
      <c r="D18">
        <f t="shared" ca="1" si="1"/>
        <v>41</v>
      </c>
      <c r="E18">
        <f t="shared" ca="1" si="1"/>
        <v>58</v>
      </c>
      <c r="F18" s="19">
        <f t="shared" ca="1" si="0"/>
        <v>61.333333333333336</v>
      </c>
    </row>
    <row r="19" spans="1:6" ht="18" thickBot="1" x14ac:dyDescent="0.3">
      <c r="A19" s="17">
        <v>18</v>
      </c>
      <c r="B19" s="17" t="s">
        <v>63</v>
      </c>
      <c r="C19">
        <f t="shared" ca="1" si="2"/>
        <v>98</v>
      </c>
      <c r="D19">
        <f t="shared" ca="1" si="1"/>
        <v>51</v>
      </c>
      <c r="E19">
        <f t="shared" ca="1" si="1"/>
        <v>79</v>
      </c>
      <c r="F19" s="19">
        <f t="shared" ca="1" si="0"/>
        <v>76</v>
      </c>
    </row>
    <row r="20" spans="1:6" ht="18" thickBot="1" x14ac:dyDescent="0.3">
      <c r="A20" s="18">
        <v>19</v>
      </c>
      <c r="B20" s="18" t="s">
        <v>64</v>
      </c>
      <c r="C20">
        <f t="shared" ca="1" si="2"/>
        <v>59</v>
      </c>
      <c r="D20">
        <f t="shared" ca="1" si="1"/>
        <v>83</v>
      </c>
      <c r="E20">
        <f t="shared" ca="1" si="1"/>
        <v>40</v>
      </c>
      <c r="F20" s="19">
        <f t="shared" ca="1" si="0"/>
        <v>60.666666666666664</v>
      </c>
    </row>
    <row r="21" spans="1:6" ht="18" thickBot="1" x14ac:dyDescent="0.3">
      <c r="A21" s="17">
        <v>20</v>
      </c>
      <c r="B21" s="17" t="s">
        <v>65</v>
      </c>
      <c r="C21">
        <f t="shared" ca="1" si="2"/>
        <v>72</v>
      </c>
      <c r="D21">
        <f t="shared" ca="1" si="1"/>
        <v>45</v>
      </c>
      <c r="E21">
        <f t="shared" ca="1" si="1"/>
        <v>51</v>
      </c>
      <c r="F21" s="19">
        <f t="shared" ca="1" si="0"/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 1</vt:lpstr>
      <vt:lpstr>Task 4</vt:lpstr>
      <vt:lpstr>Task 5</vt:lpstr>
      <vt:lpstr>Sheet2</vt:lpstr>
      <vt:lpstr>Sheet4</vt:lpstr>
      <vt:lpstr>Sheet5</vt:lpstr>
      <vt:lpstr>Sheet3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2026-06-23T10:02:24Z</dcterms:created>
  <dcterms:modified xsi:type="dcterms:W3CDTF">2026-06-24T10:14:05Z</dcterms:modified>
</cp:coreProperties>
</file>