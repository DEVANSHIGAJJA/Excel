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DA-17-DEVANSHI\ExcelWork\"/>
    </mc:Choice>
  </mc:AlternateContent>
  <xr:revisionPtr revIDLastSave="0" documentId="13_ncr:1_{A41807FC-6677-4DCF-847D-A82737084D90}" xr6:coauthVersionLast="47" xr6:coauthVersionMax="47" xr10:uidLastSave="{00000000-0000-0000-0000-000000000000}"/>
  <bookViews>
    <workbookView xWindow="-120" yWindow="-120" windowWidth="20730" windowHeight="11040" xr2:uid="{1789495A-BAF2-4352-BA01-459EB2C25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" i="1" l="1"/>
  <c r="D88" i="1"/>
  <c r="D89" i="1"/>
  <c r="D86" i="1"/>
  <c r="C78" i="1"/>
  <c r="C79" i="1"/>
  <c r="C80" i="1"/>
  <c r="C77" i="1"/>
  <c r="C69" i="1"/>
  <c r="C70" i="1"/>
  <c r="C71" i="1"/>
  <c r="C68" i="1"/>
  <c r="D60" i="1"/>
  <c r="D61" i="1"/>
  <c r="D62" i="1"/>
  <c r="D59" i="1"/>
  <c r="D33" i="1"/>
  <c r="D34" i="1"/>
  <c r="D35" i="1"/>
  <c r="D32" i="1"/>
  <c r="D42" i="1"/>
  <c r="D43" i="1"/>
  <c r="D44" i="1"/>
  <c r="D41" i="1"/>
  <c r="D51" i="1"/>
  <c r="D52" i="1"/>
  <c r="D53" i="1"/>
  <c r="D50" i="1"/>
  <c r="C23" i="1"/>
  <c r="C24" i="1"/>
  <c r="C25" i="1"/>
  <c r="C26" i="1"/>
  <c r="C22" i="1"/>
  <c r="C14" i="1"/>
  <c r="C15" i="1"/>
  <c r="C16" i="1"/>
  <c r="C13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<sst xmlns="http://schemas.openxmlformats.org/spreadsheetml/2006/main" count="91" uniqueCount="54">
  <si>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</si>
  <si>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</si>
  <si>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</si>
  <si>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</si>
  <si>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</si>
  <si>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</si>
  <si>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</si>
  <si>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</si>
  <si>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</si>
  <si>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2</t>
  </si>
  <si>
    <t>Employee Name</t>
  </si>
  <si>
    <t>Salary</t>
  </si>
  <si>
    <t>Bonus Status</t>
  </si>
  <si>
    <t>Rohit</t>
  </si>
  <si>
    <t>Simran</t>
  </si>
  <si>
    <t>Vijay</t>
  </si>
  <si>
    <t>Nisha</t>
  </si>
  <si>
    <t>TASK 3</t>
  </si>
  <si>
    <t>Grade</t>
  </si>
  <si>
    <t>TASK 4</t>
  </si>
  <si>
    <t>Name</t>
  </si>
  <si>
    <t>Age</t>
  </si>
  <si>
    <t>Experience (Years)</t>
  </si>
  <si>
    <t>Eligible</t>
  </si>
  <si>
    <t xml:space="preserve">TASK 5 </t>
  </si>
  <si>
    <t>Attendance %</t>
  </si>
  <si>
    <t>Assignment Submitted</t>
  </si>
  <si>
    <t>Yes</t>
  </si>
  <si>
    <t>No</t>
  </si>
  <si>
    <t>TASK 6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</si>
  <si>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</si>
  <si>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</si>
  <si>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</si>
  <si>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</si>
  <si>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</si>
  <si>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</si>
  <si>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</si>
  <si>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 7</t>
  </si>
  <si>
    <t>Applicant</t>
  </si>
  <si>
    <t>CIBIL Score</t>
  </si>
  <si>
    <t>Loan Status</t>
  </si>
  <si>
    <t>Task 8</t>
  </si>
  <si>
    <t>Present</t>
  </si>
  <si>
    <t>Status</t>
  </si>
  <si>
    <t>TASK 9</t>
  </si>
  <si>
    <t>Number 1</t>
  </si>
  <si>
    <t>Number 2</t>
  </si>
  <si>
    <t>TASK 10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</si>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</sst>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0"/>
      <color theme="1"/>
      <name val="Calibri"/>
      <family val="2"/>
      <scheme val="minor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93D6-3EEF-4CBA-A696-239A56918E62}">
  <dimension ref="A1:J89"/>
  <sheetViews>
    <sheetView tabSelected="1" topLeftCell="A82" workbookViewId="0">
      <selection activeCell="F98" sqref="F98"/>
    </sheetView>
  </sheetViews>
  <sheetFormatPr defaultRowHeight="15" x14ac:dyDescent="0.25"/>
  <cols>
    <col min="1" max="1" width="20.42578125" customWidth="1"/>
    <col min="2" max="2" width="18.42578125" customWidth="1"/>
    <col min="3" max="3" width="19.5703125" customWidth="1"/>
    <col min="4" max="4" width="31.28515625" customWidth="1"/>
  </cols>
  <sheetData>
    <row r="1" spans="1:10" ht="1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10" ht="18" thickBot="1" x14ac:dyDescent="0.3">
      <c r="A3" s="3">
        <v>2</v>
      </c>
      <c r="B3" s="3" t="s">
        <v>5</v>
      </c>
      <c r="C3" s="3">
        <v>35</v>
      </c>
      <c r="D3" s="2" t="str">
        <f t="shared" ref="D3:D6" si="0">IF(C3&gt;=40,"pass","fail")</f>
        <v>fail</v>
      </c>
    </row>
    <row r="4" spans="1:10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10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</row>
    <row r="6" spans="1:10" ht="18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</row>
    <row r="9" spans="1:10" x14ac:dyDescent="0.25">
      <c r="D9" s="4" t="s">
        <v>9</v>
      </c>
      <c r="E9" s="5"/>
      <c r="F9" s="5"/>
      <c r="G9" s="5"/>
      <c r="H9" s="5"/>
      <c r="I9" s="5"/>
      <c r="J9" s="5"/>
    </row>
    <row r="10" spans="1:10" x14ac:dyDescent="0.25">
      <c r="D10" s="5"/>
      <c r="E10" s="5"/>
      <c r="F10" s="5"/>
      <c r="G10" s="5"/>
      <c r="H10" s="5"/>
      <c r="I10" s="5"/>
      <c r="J10" s="5"/>
    </row>
    <row r="11" spans="1:10" ht="15.75" thickBot="1" x14ac:dyDescent="0.3"/>
    <row r="12" spans="1:10" ht="18" thickBot="1" x14ac:dyDescent="0.3">
      <c r="A12" s="9" t="s">
        <v>10</v>
      </c>
      <c r="B12" s="9" t="s">
        <v>11</v>
      </c>
      <c r="C12" s="9" t="s">
        <v>12</v>
      </c>
    </row>
    <row r="13" spans="1:10" ht="18" thickBot="1" x14ac:dyDescent="0.3">
      <c r="A13" s="10" t="s">
        <v>13</v>
      </c>
      <c r="B13" s="10">
        <v>28000</v>
      </c>
      <c r="C13" s="10" t="str">
        <f>IF(B13&gt;=40000,"yes","no bonus")</f>
        <v>no bonus</v>
      </c>
    </row>
    <row r="14" spans="1:10" ht="18" thickBot="1" x14ac:dyDescent="0.3">
      <c r="A14" s="11" t="s">
        <v>14</v>
      </c>
      <c r="B14" s="11">
        <v>45000</v>
      </c>
      <c r="C14" s="10" t="str">
        <f t="shared" ref="C14:C16" si="1">IF(B14&gt;=40000,"yes","no bonus")</f>
        <v>yes</v>
      </c>
    </row>
    <row r="15" spans="1:10" ht="18" thickBot="1" x14ac:dyDescent="0.3">
      <c r="A15" s="10" t="s">
        <v>15</v>
      </c>
      <c r="B15" s="10">
        <v>52000</v>
      </c>
      <c r="C15" s="10" t="str">
        <f t="shared" si="1"/>
        <v>yes</v>
      </c>
    </row>
    <row r="16" spans="1:10" ht="18" thickBot="1" x14ac:dyDescent="0.3">
      <c r="A16" s="11" t="s">
        <v>16</v>
      </c>
      <c r="B16" s="11">
        <v>30000</v>
      </c>
      <c r="C16" s="10" t="str">
        <f t="shared" si="1"/>
        <v>no bonus</v>
      </c>
    </row>
    <row r="18" spans="1:10" x14ac:dyDescent="0.25">
      <c r="D18" s="4" t="s">
        <v>17</v>
      </c>
      <c r="E18" s="5"/>
      <c r="F18" s="5"/>
      <c r="G18" s="5"/>
      <c r="H18" s="5"/>
      <c r="I18" s="5"/>
      <c r="J18" s="5"/>
    </row>
    <row r="19" spans="1:10" x14ac:dyDescent="0.25">
      <c r="D19" s="5"/>
      <c r="E19" s="5"/>
      <c r="F19" s="5"/>
      <c r="G19" s="5"/>
      <c r="H19" s="5"/>
      <c r="I19" s="5"/>
      <c r="J19" s="5"/>
    </row>
    <row r="20" spans="1:10" ht="15.75" thickBot="1" x14ac:dyDescent="0.3"/>
    <row r="21" spans="1:10" ht="18" thickBot="1" x14ac:dyDescent="0.3">
      <c r="A21" s="6" t="s">
        <v>1</v>
      </c>
      <c r="B21" s="6" t="s">
        <v>2</v>
      </c>
      <c r="C21" s="6" t="s">
        <v>18</v>
      </c>
    </row>
    <row r="22" spans="1:10" ht="18" thickBot="1" x14ac:dyDescent="0.3">
      <c r="A22" s="7" t="s">
        <v>4</v>
      </c>
      <c r="B22" s="7">
        <v>82</v>
      </c>
      <c r="C22" s="7" t="str">
        <f>IF(B22&gt;75,"A",IF(B22&gt;60,"B",IF(B22&gt;40,"C",IF(B22&lt;40,"FAIL"))))</f>
        <v>A</v>
      </c>
    </row>
    <row r="23" spans="1:10" ht="18" thickBot="1" x14ac:dyDescent="0.3">
      <c r="A23" s="8" t="s">
        <v>5</v>
      </c>
      <c r="B23" s="8">
        <v>67</v>
      </c>
      <c r="C23" s="7" t="str">
        <f t="shared" ref="C23:C26" si="2">IF(B23&gt;75,"A",IF(B23&gt;60,"B",IF(B23&gt;40,"C",IF(B23&lt;40,"FAIL"))))</f>
        <v>B</v>
      </c>
    </row>
    <row r="24" spans="1:10" ht="18" thickBot="1" x14ac:dyDescent="0.3">
      <c r="A24" s="7" t="s">
        <v>6</v>
      </c>
      <c r="B24" s="7">
        <v>45</v>
      </c>
      <c r="C24" s="7" t="str">
        <f t="shared" si="2"/>
        <v>C</v>
      </c>
    </row>
    <row r="25" spans="1:10" ht="18" thickBot="1" x14ac:dyDescent="0.3">
      <c r="A25" s="8" t="s">
        <v>7</v>
      </c>
      <c r="B25" s="8">
        <v>33</v>
      </c>
      <c r="C25" s="7" t="str">
        <f t="shared" si="2"/>
        <v>FAIL</v>
      </c>
    </row>
    <row r="26" spans="1:10" ht="18" thickBot="1" x14ac:dyDescent="0.3">
      <c r="A26" s="7" t="s">
        <v>8</v>
      </c>
      <c r="B26" s="7">
        <v>90</v>
      </c>
      <c r="C26" s="7" t="str">
        <f t="shared" si="2"/>
        <v>A</v>
      </c>
    </row>
    <row r="28" spans="1:10" x14ac:dyDescent="0.25">
      <c r="D28" s="4" t="s">
        <v>19</v>
      </c>
      <c r="E28" s="5"/>
      <c r="F28" s="5"/>
      <c r="G28" s="5"/>
      <c r="H28" s="5"/>
      <c r="I28" s="5"/>
      <c r="J28" s="5"/>
    </row>
    <row r="29" spans="1:10" x14ac:dyDescent="0.25">
      <c r="D29" s="5"/>
      <c r="E29" s="5"/>
      <c r="F29" s="5"/>
      <c r="G29" s="5"/>
      <c r="H29" s="5"/>
      <c r="I29" s="5"/>
      <c r="J29" s="5"/>
    </row>
    <row r="30" spans="1:10" ht="15.75" thickBot="1" x14ac:dyDescent="0.3"/>
    <row r="31" spans="1:10" ht="35.25" thickBot="1" x14ac:dyDescent="0.3">
      <c r="A31" s="6" t="s">
        <v>20</v>
      </c>
      <c r="B31" s="6" t="s">
        <v>21</v>
      </c>
      <c r="C31" s="6" t="s">
        <v>22</v>
      </c>
      <c r="D31" s="6" t="s">
        <v>23</v>
      </c>
    </row>
    <row r="32" spans="1:10" ht="18" thickBot="1" x14ac:dyDescent="0.3">
      <c r="A32" s="7" t="s">
        <v>13</v>
      </c>
      <c r="B32" s="7">
        <v>25</v>
      </c>
      <c r="C32" s="7">
        <v>2</v>
      </c>
      <c r="D32" s="7" t="str">
        <f>IF(AND(B32&gt;21,C32&gt;1),"Eligible"," No Eligible")</f>
        <v>Eligible</v>
      </c>
    </row>
    <row r="33" spans="1:10" ht="18" thickBot="1" x14ac:dyDescent="0.3">
      <c r="A33" s="8" t="s">
        <v>14</v>
      </c>
      <c r="B33" s="8">
        <v>20</v>
      </c>
      <c r="C33" s="8">
        <v>1</v>
      </c>
      <c r="D33" s="7" t="str">
        <f t="shared" ref="D33:D35" si="3">IF(AND(B33&gt;21,C33&gt;1),"Eligible"," No Eligible")</f>
        <v xml:space="preserve"> No Eligible</v>
      </c>
    </row>
    <row r="34" spans="1:10" ht="18" thickBot="1" x14ac:dyDescent="0.3">
      <c r="A34" s="7" t="s">
        <v>15</v>
      </c>
      <c r="B34" s="7">
        <v>30</v>
      </c>
      <c r="C34" s="7">
        <v>5</v>
      </c>
      <c r="D34" s="7" t="str">
        <f t="shared" si="3"/>
        <v>Eligible</v>
      </c>
    </row>
    <row r="35" spans="1:10" ht="18" thickBot="1" x14ac:dyDescent="0.3">
      <c r="A35" s="8" t="s">
        <v>16</v>
      </c>
      <c r="B35" s="8">
        <v>22</v>
      </c>
      <c r="C35" s="8">
        <v>0</v>
      </c>
      <c r="D35" s="7" t="str">
        <f t="shared" si="3"/>
        <v xml:space="preserve"> No Eligible</v>
      </c>
    </row>
    <row r="37" spans="1:10" x14ac:dyDescent="0.25">
      <c r="D37" s="4" t="s">
        <v>24</v>
      </c>
      <c r="E37" s="5"/>
      <c r="F37" s="5"/>
      <c r="G37" s="5"/>
      <c r="H37" s="5"/>
      <c r="I37" s="5"/>
      <c r="J37" s="5"/>
    </row>
    <row r="38" spans="1:10" x14ac:dyDescent="0.25">
      <c r="D38" s="5"/>
      <c r="E38" s="5"/>
      <c r="F38" s="5"/>
      <c r="G38" s="5"/>
      <c r="H38" s="5"/>
      <c r="I38" s="5"/>
      <c r="J38" s="5"/>
    </row>
    <row r="39" spans="1:10" ht="15.75" thickBot="1" x14ac:dyDescent="0.3"/>
    <row r="40" spans="1:10" ht="35.25" thickBot="1" x14ac:dyDescent="0.3">
      <c r="A40" s="6" t="s">
        <v>1</v>
      </c>
      <c r="B40" s="6" t="s">
        <v>25</v>
      </c>
      <c r="C40" s="6" t="s">
        <v>26</v>
      </c>
      <c r="D40" s="6" t="s">
        <v>23</v>
      </c>
    </row>
    <row r="41" spans="1:10" ht="18" thickBot="1" x14ac:dyDescent="0.3">
      <c r="A41" s="7" t="s">
        <v>4</v>
      </c>
      <c r="B41" s="7">
        <v>85</v>
      </c>
      <c r="C41" s="7" t="s">
        <v>27</v>
      </c>
      <c r="D41" s="7" t="str">
        <f>IF(AND(B41&gt;75,C41="Yes"),"yes","No")</f>
        <v>yes</v>
      </c>
    </row>
    <row r="42" spans="1:10" ht="18" thickBot="1" x14ac:dyDescent="0.3">
      <c r="A42" s="8" t="s">
        <v>5</v>
      </c>
      <c r="B42" s="8">
        <v>72</v>
      </c>
      <c r="C42" s="8" t="s">
        <v>27</v>
      </c>
      <c r="D42" s="7" t="str">
        <f t="shared" ref="D42:D44" si="4">IF(AND(B42&gt;75,C42="Yes"),"yes","No")</f>
        <v>No</v>
      </c>
    </row>
    <row r="43" spans="1:10" ht="18" thickBot="1" x14ac:dyDescent="0.3">
      <c r="A43" s="7" t="s">
        <v>6</v>
      </c>
      <c r="B43" s="7">
        <v>90</v>
      </c>
      <c r="C43" s="7" t="s">
        <v>28</v>
      </c>
      <c r="D43" s="7" t="str">
        <f t="shared" si="4"/>
        <v>No</v>
      </c>
    </row>
    <row r="44" spans="1:10" ht="18" thickBot="1" x14ac:dyDescent="0.3">
      <c r="A44" s="8" t="s">
        <v>7</v>
      </c>
      <c r="B44" s="8">
        <v>80</v>
      </c>
      <c r="C44" s="8" t="s">
        <v>27</v>
      </c>
      <c r="D44" s="7" t="str">
        <f t="shared" si="4"/>
        <v>yes</v>
      </c>
    </row>
    <row r="46" spans="1:10" x14ac:dyDescent="0.25">
      <c r="D46" s="4" t="s">
        <v>29</v>
      </c>
      <c r="E46" s="5"/>
      <c r="F46" s="5"/>
      <c r="G46" s="5"/>
      <c r="H46" s="5"/>
      <c r="I46" s="5"/>
      <c r="J46" s="5"/>
    </row>
    <row r="47" spans="1:10" x14ac:dyDescent="0.25">
      <c r="D47" s="5"/>
      <c r="E47" s="5"/>
      <c r="F47" s="5"/>
      <c r="G47" s="5"/>
      <c r="H47" s="5"/>
      <c r="I47" s="5"/>
      <c r="J47" s="5"/>
    </row>
    <row r="48" spans="1:10" ht="15.75" thickBot="1" x14ac:dyDescent="0.3"/>
    <row r="49" spans="1:10" ht="35.25" thickBot="1" x14ac:dyDescent="0.3">
      <c r="A49" s="6" t="s">
        <v>30</v>
      </c>
      <c r="B49" s="6" t="s">
        <v>31</v>
      </c>
      <c r="C49" s="6" t="s">
        <v>32</v>
      </c>
      <c r="D49" s="6" t="s">
        <v>33</v>
      </c>
    </row>
    <row r="50" spans="1:10" ht="18" thickBot="1" x14ac:dyDescent="0.3">
      <c r="A50" s="7" t="s">
        <v>34</v>
      </c>
      <c r="B50" s="7">
        <v>9000</v>
      </c>
      <c r="C50" s="7" t="s">
        <v>28</v>
      </c>
      <c r="D50" s="7" t="str">
        <f>IF(OR(B50&gt;10000,C50="Yes"),"Yes","No")</f>
        <v>No</v>
      </c>
    </row>
    <row r="51" spans="1:10" ht="18" thickBot="1" x14ac:dyDescent="0.3">
      <c r="A51" s="8" t="s">
        <v>35</v>
      </c>
      <c r="B51" s="8">
        <v>12000</v>
      </c>
      <c r="C51" s="8" t="s">
        <v>28</v>
      </c>
      <c r="D51" s="7" t="str">
        <f t="shared" ref="D51:D53" si="5">IF(OR(B51&gt;10000,C51="Yes"),"Yes","No")</f>
        <v>Yes</v>
      </c>
    </row>
    <row r="52" spans="1:10" ht="18" thickBot="1" x14ac:dyDescent="0.3">
      <c r="A52" s="7" t="s">
        <v>6</v>
      </c>
      <c r="B52" s="7">
        <v>4000</v>
      </c>
      <c r="C52" s="7" t="s">
        <v>27</v>
      </c>
      <c r="D52" s="7" t="str">
        <f t="shared" si="5"/>
        <v>Yes</v>
      </c>
    </row>
    <row r="53" spans="1:10" ht="18" thickBot="1" x14ac:dyDescent="0.3">
      <c r="A53" s="8" t="s">
        <v>36</v>
      </c>
      <c r="B53" s="8">
        <v>3000</v>
      </c>
      <c r="C53" s="8" t="s">
        <v>28</v>
      </c>
      <c r="D53" s="7" t="str">
        <f t="shared" si="5"/>
        <v>No</v>
      </c>
    </row>
    <row r="55" spans="1:10" x14ac:dyDescent="0.25">
      <c r="D55" s="4" t="s">
        <v>37</v>
      </c>
      <c r="E55" s="5"/>
      <c r="F55" s="5"/>
      <c r="G55" s="5"/>
      <c r="H55" s="5"/>
      <c r="I55" s="5"/>
      <c r="J55" s="5"/>
    </row>
    <row r="56" spans="1:10" x14ac:dyDescent="0.25">
      <c r="D56" s="5"/>
      <c r="E56" s="5"/>
      <c r="F56" s="5"/>
      <c r="G56" s="5"/>
      <c r="H56" s="5"/>
      <c r="I56" s="5"/>
      <c r="J56" s="5"/>
    </row>
    <row r="57" spans="1:10" ht="15.75" thickBot="1" x14ac:dyDescent="0.3"/>
    <row r="58" spans="1:10" ht="35.25" thickBot="1" x14ac:dyDescent="0.3">
      <c r="A58" s="6" t="s">
        <v>38</v>
      </c>
      <c r="B58" s="6" t="s">
        <v>11</v>
      </c>
      <c r="C58" s="6" t="s">
        <v>39</v>
      </c>
      <c r="D58" s="6" t="s">
        <v>40</v>
      </c>
    </row>
    <row r="59" spans="1:10" ht="18" thickBot="1" x14ac:dyDescent="0.3">
      <c r="A59" s="7" t="s">
        <v>13</v>
      </c>
      <c r="B59" s="7">
        <v>35000</v>
      </c>
      <c r="C59" s="7">
        <v>720</v>
      </c>
      <c r="D59" s="7" t="str">
        <f>IF(OR(B59&gt;40000,C59&gt;700),"aprooved","rejected")</f>
        <v>aprooved</v>
      </c>
    </row>
    <row r="60" spans="1:10" ht="18" thickBot="1" x14ac:dyDescent="0.3">
      <c r="A60" s="8" t="s">
        <v>14</v>
      </c>
      <c r="B60" s="8">
        <v>25000</v>
      </c>
      <c r="C60" s="8">
        <v>680</v>
      </c>
      <c r="D60" s="7" t="str">
        <f t="shared" ref="D60:D62" si="6">IF(OR(B60&gt;40000,C60&gt;700),"aprooved","rejected")</f>
        <v>rejected</v>
      </c>
    </row>
    <row r="61" spans="1:10" ht="18" thickBot="1" x14ac:dyDescent="0.3">
      <c r="A61" s="7" t="s">
        <v>15</v>
      </c>
      <c r="B61" s="7">
        <v>50000</v>
      </c>
      <c r="C61" s="7">
        <v>650</v>
      </c>
      <c r="D61" s="7" t="str">
        <f t="shared" si="6"/>
        <v>aprooved</v>
      </c>
    </row>
    <row r="62" spans="1:10" ht="18" thickBot="1" x14ac:dyDescent="0.3">
      <c r="A62" s="8" t="s">
        <v>16</v>
      </c>
      <c r="B62" s="8">
        <v>20000</v>
      </c>
      <c r="C62" s="8">
        <v>600</v>
      </c>
      <c r="D62" s="7" t="str">
        <f t="shared" si="6"/>
        <v>rejected</v>
      </c>
    </row>
    <row r="64" spans="1:10" x14ac:dyDescent="0.25">
      <c r="D64" s="4" t="s">
        <v>41</v>
      </c>
      <c r="E64" s="5"/>
      <c r="F64" s="5"/>
      <c r="G64" s="5"/>
      <c r="H64" s="5"/>
      <c r="I64" s="5"/>
      <c r="J64" s="5"/>
    </row>
    <row r="65" spans="1:10" x14ac:dyDescent="0.25">
      <c r="D65" s="5"/>
      <c r="E65" s="5"/>
      <c r="F65" s="5"/>
      <c r="G65" s="5"/>
      <c r="H65" s="5"/>
      <c r="I65" s="5"/>
      <c r="J65" s="5"/>
    </row>
    <row r="66" spans="1:10" ht="15.75" thickBot="1" x14ac:dyDescent="0.3"/>
    <row r="67" spans="1:10" ht="18" thickBot="1" x14ac:dyDescent="0.3">
      <c r="A67" s="6" t="s">
        <v>20</v>
      </c>
      <c r="B67" s="6" t="s">
        <v>42</v>
      </c>
      <c r="C67" s="6" t="s">
        <v>43</v>
      </c>
    </row>
    <row r="68" spans="1:10" ht="18" thickBot="1" x14ac:dyDescent="0.3">
      <c r="A68" s="7" t="s">
        <v>4</v>
      </c>
      <c r="B68" s="7" t="b">
        <v>1</v>
      </c>
      <c r="C68" s="7" t="str">
        <f>IF(NOT(B68),"Absent","Present")</f>
        <v>Present</v>
      </c>
    </row>
    <row r="69" spans="1:10" ht="18" thickBot="1" x14ac:dyDescent="0.3">
      <c r="A69" s="8" t="s">
        <v>5</v>
      </c>
      <c r="B69" s="8" t="b">
        <v>0</v>
      </c>
      <c r="C69" s="7" t="str">
        <f t="shared" ref="C69:C71" si="7">IF(NOT(B69),"Absent","Present")</f>
        <v>Absent</v>
      </c>
    </row>
    <row r="70" spans="1:10" ht="18" thickBot="1" x14ac:dyDescent="0.3">
      <c r="A70" s="7" t="s">
        <v>6</v>
      </c>
      <c r="B70" s="7" t="b">
        <v>1</v>
      </c>
      <c r="C70" s="7" t="str">
        <f t="shared" si="7"/>
        <v>Present</v>
      </c>
    </row>
    <row r="71" spans="1:10" ht="18" thickBot="1" x14ac:dyDescent="0.3">
      <c r="A71" s="8" t="s">
        <v>7</v>
      </c>
      <c r="B71" s="8" t="b">
        <v>0</v>
      </c>
      <c r="C71" s="7" t="str">
        <f t="shared" si="7"/>
        <v>Absent</v>
      </c>
    </row>
    <row r="73" spans="1:10" x14ac:dyDescent="0.25">
      <c r="D73" s="4" t="s">
        <v>44</v>
      </c>
      <c r="E73" s="5"/>
      <c r="F73" s="5"/>
      <c r="G73" s="5"/>
      <c r="H73" s="5"/>
      <c r="I73" s="5"/>
      <c r="J73" s="5"/>
    </row>
    <row r="74" spans="1:10" x14ac:dyDescent="0.25">
      <c r="D74" s="5"/>
      <c r="E74" s="5"/>
      <c r="F74" s="5"/>
      <c r="G74" s="5"/>
      <c r="H74" s="5"/>
      <c r="I74" s="5"/>
      <c r="J74" s="5"/>
    </row>
    <row r="75" spans="1:10" ht="15.75" thickBot="1" x14ac:dyDescent="0.3"/>
    <row r="76" spans="1:10" ht="18" thickBot="1" x14ac:dyDescent="0.3">
      <c r="A76" s="6" t="s">
        <v>45</v>
      </c>
      <c r="B76" s="6" t="s">
        <v>46</v>
      </c>
      <c r="C76" s="6" t="s">
        <v>3</v>
      </c>
    </row>
    <row r="77" spans="1:10" ht="18" thickBot="1" x14ac:dyDescent="0.3">
      <c r="A77" s="7">
        <v>10</v>
      </c>
      <c r="B77" s="7">
        <v>2</v>
      </c>
      <c r="C77" s="7">
        <f>IFERROR(A77/B77,"invalid")</f>
        <v>5</v>
      </c>
    </row>
    <row r="78" spans="1:10" ht="18" thickBot="1" x14ac:dyDescent="0.3">
      <c r="A78" s="8">
        <v>15</v>
      </c>
      <c r="B78" s="8">
        <v>0</v>
      </c>
      <c r="C78" s="7" t="str">
        <f t="shared" ref="C78:C80" si="8">IFERROR(A78/B78,"invalid")</f>
        <v>invalid</v>
      </c>
    </row>
    <row r="79" spans="1:10" ht="18" thickBot="1" x14ac:dyDescent="0.3">
      <c r="A79" s="7">
        <v>20</v>
      </c>
      <c r="B79" s="7">
        <v>5</v>
      </c>
      <c r="C79" s="7">
        <f t="shared" si="8"/>
        <v>4</v>
      </c>
    </row>
    <row r="80" spans="1:10" ht="18" thickBot="1" x14ac:dyDescent="0.3">
      <c r="A80" s="8">
        <v>8</v>
      </c>
      <c r="B80" s="8">
        <v>0</v>
      </c>
      <c r="C80" s="7" t="str">
        <f t="shared" si="8"/>
        <v>invalid</v>
      </c>
    </row>
    <row r="82" spans="1:10" x14ac:dyDescent="0.25">
      <c r="D82" s="4" t="s">
        <v>47</v>
      </c>
      <c r="E82" s="5"/>
      <c r="F82" s="5"/>
      <c r="G82" s="5"/>
      <c r="H82" s="5"/>
      <c r="I82" s="5"/>
      <c r="J82" s="5"/>
    </row>
    <row r="83" spans="1:10" x14ac:dyDescent="0.25">
      <c r="D83" s="5"/>
      <c r="E83" s="5"/>
      <c r="F83" s="5"/>
      <c r="G83" s="5"/>
      <c r="H83" s="5"/>
      <c r="I83" s="5"/>
      <c r="J83" s="5"/>
    </row>
    <row r="84" spans="1:10" ht="15.75" thickBot="1" x14ac:dyDescent="0.3"/>
    <row r="85" spans="1:10" ht="35.25" thickBot="1" x14ac:dyDescent="0.3">
      <c r="A85" s="6" t="s">
        <v>10</v>
      </c>
      <c r="B85" s="6" t="s">
        <v>48</v>
      </c>
      <c r="C85" s="6" t="s">
        <v>25</v>
      </c>
      <c r="D85" s="6" t="s">
        <v>49</v>
      </c>
    </row>
    <row r="86" spans="1:10" ht="18" thickBot="1" x14ac:dyDescent="0.3">
      <c r="A86" s="7" t="s">
        <v>50</v>
      </c>
      <c r="B86" s="7">
        <v>45</v>
      </c>
      <c r="C86" s="7">
        <v>92</v>
      </c>
      <c r="D86" s="7" t="str">
        <f>IF(AND(C86&gt;90,B86&gt;40),"Excellent",IF(C86&gt;80,"good","needs improvements"))</f>
        <v>Excellent</v>
      </c>
    </row>
    <row r="87" spans="1:10" ht="18" thickBot="1" x14ac:dyDescent="0.3">
      <c r="A87" s="8" t="s">
        <v>51</v>
      </c>
      <c r="B87" s="8">
        <v>38</v>
      </c>
      <c r="C87" s="8">
        <v>85</v>
      </c>
      <c r="D87" s="7" t="str">
        <f t="shared" ref="D87:D89" si="9">IF(AND(C87&gt;90,B87&gt;40),"Excellent",IF(C87&gt;80,"good","needs improvements"))</f>
        <v>good</v>
      </c>
    </row>
    <row r="88" spans="1:10" ht="18" thickBot="1" x14ac:dyDescent="0.3">
      <c r="A88" s="7" t="s">
        <v>52</v>
      </c>
      <c r="B88" s="7">
        <v>50</v>
      </c>
      <c r="C88" s="7">
        <v>95</v>
      </c>
      <c r="D88" s="7" t="str">
        <f t="shared" si="9"/>
        <v>Excellent</v>
      </c>
    </row>
    <row r="89" spans="1:10" ht="18" thickBot="1" x14ac:dyDescent="0.3">
      <c r="A89" s="8" t="s">
        <v>53</v>
      </c>
      <c r="B89" s="8">
        <v>30</v>
      </c>
      <c r="C89" s="8">
        <v>70</v>
      </c>
      <c r="D89" s="7" t="str">
        <f t="shared" si="9"/>
        <v>needs improvements</v>
      </c>
    </row>
  </sheetData>
  <mergeCells count="9">
    <mergeCell ref="D64:J65"/>
    <mergeCell ref="D73:J74"/>
    <mergeCell ref="D82:J83"/>
    <mergeCell ref="D9:J10"/>
    <mergeCell ref="D18:J19"/>
    <mergeCell ref="D28:J29"/>
    <mergeCell ref="D37:J38"/>
    <mergeCell ref="D46:J47"/>
    <mergeCell ref="D55:J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2026-06-24T10:14:17Z</dcterms:created>
  <dcterms:modified xsi:type="dcterms:W3CDTF">2026-06-24T11:50:18Z</dcterms:modified>
</cp:coreProperties>
</file>