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DA-17-DEVANSHI\ExcelWork\"/>
    </mc:Choice>
  </mc:AlternateContent>
  <xr:revisionPtr revIDLastSave="0" documentId="13_ncr:1_{8174E69A-37A7-4A17-8147-C5B775F67880}" xr6:coauthVersionLast="47" xr6:coauthVersionMax="47" xr10:uidLastSave="{00000000-0000-0000-0000-000000000000}"/>
  <bookViews>
    <workbookView xWindow="-120" yWindow="-120" windowWidth="20730" windowHeight="11040" xr2:uid="{4359ED6C-F223-4D61-B038-0AB7CC606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3" i="1" l="1"/>
  <c r="B98" i="1"/>
  <c r="B92" i="1"/>
  <c r="B87" i="1"/>
  <c r="B82" i="1"/>
  <c r="B76" i="1"/>
  <c r="C71" i="1"/>
  <c r="B71" i="1"/>
  <c r="D71" i="1" s="1"/>
  <c r="B64" i="1"/>
  <c r="B59" i="1"/>
  <c r="B53" i="1"/>
  <c r="B48" i="1"/>
  <c r="B42" i="1"/>
  <c r="B37" i="1"/>
  <c r="B32" i="1"/>
  <c r="B26" i="1"/>
  <c r="E71" i="1" l="1"/>
</calcChain>
</file>

<file path=xl/sharedStrings.xml><?xml version="1.0" encoding="utf-8"?>
<sst xmlns="http://schemas.openxmlformats.org/spreadsheetml/2006/main" count="110" uniqueCount="57">
  <si>
    <t>Sheet: Employee_Data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</si>
  <si>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</si>
  <si>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</si>
  <si>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</si>
  <si>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</si>
  <si>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</si>
  <si>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</si>
  <si>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</si>
  <si>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</si>
  <si>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</si>
  <si>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</si>
  <si>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</si>
  <si>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</si>
  <si>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</si>
  <si>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</si>
  <si>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</si>
  <si>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</si>
  <si>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</si>
  <si>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</si>
  <si>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</si>
  <si>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</si>
  <si>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</si>
  <si>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</si>
  <si>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</si>
  <si>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</si>
  <si>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</si>
  <si>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</si>
  <si>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</si>
  <si>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</si>
  <si>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</si>
  <si>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</si>
  <si>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</si>
  <si>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</si>
  <si>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</si>
  <si>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Sheet: Department_Bonus (Horizontal Table)</t>
  </si>
  <si>
    <t>Bonus %</t>
  </si>
  <si>
    <t>Sheet: Search_Input</t>
  </si>
  <si>
    <t>TASK 1</t>
  </si>
  <si>
    <t>Found or Not</t>
  </si>
  <si>
    <t>E109</t>
  </si>
  <si>
    <t>Bonus</t>
  </si>
  <si>
    <t>Bonus Amount</t>
  </si>
  <si>
    <t>Result</t>
  </si>
  <si>
    <t>medical</t>
  </si>
  <si>
    <t>Employee ID</t>
  </si>
  <si>
    <t>Employee name</t>
  </si>
  <si>
    <t xml:space="preserve">Employee ID </t>
  </si>
  <si>
    <t>E999</t>
  </si>
  <si>
    <t>TASK 2</t>
  </si>
  <si>
    <t>TASK 3</t>
  </si>
  <si>
    <t>TASK  4</t>
  </si>
  <si>
    <t>TASK 5</t>
  </si>
  <si>
    <t>TASK 6</t>
  </si>
  <si>
    <t>HLOOKUP</t>
  </si>
  <si>
    <t>TASK 7</t>
  </si>
  <si>
    <t>TASK 8</t>
  </si>
  <si>
    <t>TASK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</si>
</sst>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/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9" fontId="0" fillId="0" borderId="0" xfId="1" applyFont="1"/>
    <xf numFmtId="0" fontId="3" fillId="0" borderId="0" xfId="0" applyFont="1"/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6" fillId="6" borderId="0" xfId="0" applyFont="1" applyFill="1" applyAlignment="1">
      <alignment horizontal="left"/>
    </xf>
    <xf numFmtId="0" fontId="0" fillId="6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CC6E-01AF-4B35-AA7B-974AE6F8A0FC}">
  <dimension ref="A1:F103"/>
  <sheetViews>
    <sheetView tabSelected="1" topLeftCell="A62" zoomScale="97" workbookViewId="0">
      <selection activeCell="A67" sqref="A67:B67"/>
    </sheetView>
  </sheetViews>
  <sheetFormatPr defaultRowHeight="15" x14ac:dyDescent="0.25"/>
  <cols>
    <col min="1" max="1" width="14.140625" customWidth="1"/>
    <col min="2" max="2" width="18.140625" customWidth="1"/>
    <col min="3" max="3" width="13.7109375" customWidth="1"/>
    <col min="4" max="4" width="11" customWidth="1"/>
    <col min="5" max="5" width="14.5703125" customWidth="1"/>
    <col min="6" max="6" width="12.7109375" customWidth="1"/>
  </cols>
  <sheetData>
    <row r="1" spans="1:6" ht="25.5" thickBot="1" x14ac:dyDescent="0.3">
      <c r="A1" s="1" t="s">
        <v>0</v>
      </c>
      <c r="B1" s="2"/>
      <c r="C1" s="2"/>
      <c r="D1" s="2"/>
      <c r="E1" s="2"/>
      <c r="F1" s="2"/>
    </row>
    <row r="2" spans="1:6" ht="15.75" thickBot="1" x14ac:dyDescent="0.3">
      <c r="A2" s="14" t="s">
        <v>1</v>
      </c>
      <c r="B2" s="15" t="s">
        <v>2</v>
      </c>
      <c r="C2" s="15" t="s">
        <v>3</v>
      </c>
      <c r="D2" s="15" t="s">
        <v>4</v>
      </c>
      <c r="E2" s="14" t="s">
        <v>5</v>
      </c>
      <c r="F2" s="14" t="s">
        <v>6</v>
      </c>
    </row>
    <row r="3" spans="1:6" ht="15.75" thickBot="1" x14ac:dyDescent="0.3">
      <c r="A3" s="5" t="s">
        <v>7</v>
      </c>
      <c r="B3" s="6" t="s">
        <v>8</v>
      </c>
      <c r="C3" s="6" t="s">
        <v>9</v>
      </c>
      <c r="D3" s="6" t="s">
        <v>10</v>
      </c>
      <c r="E3" s="5">
        <v>45000</v>
      </c>
      <c r="F3" s="5">
        <v>2019</v>
      </c>
    </row>
    <row r="4" spans="1:6" ht="15.75" thickBot="1" x14ac:dyDescent="0.3">
      <c r="A4" s="7" t="s">
        <v>11</v>
      </c>
      <c r="B4" s="8" t="s">
        <v>12</v>
      </c>
      <c r="C4" s="8" t="s">
        <v>13</v>
      </c>
      <c r="D4" s="8" t="s">
        <v>14</v>
      </c>
      <c r="E4" s="7">
        <v>52000</v>
      </c>
      <c r="F4" s="7">
        <v>2018</v>
      </c>
    </row>
    <row r="5" spans="1:6" ht="15.75" thickBot="1" x14ac:dyDescent="0.3">
      <c r="A5" s="5" t="s">
        <v>15</v>
      </c>
      <c r="B5" s="6" t="s">
        <v>16</v>
      </c>
      <c r="C5" s="6" t="s">
        <v>17</v>
      </c>
      <c r="D5" s="6" t="s">
        <v>18</v>
      </c>
      <c r="E5" s="5">
        <v>65000</v>
      </c>
      <c r="F5" s="5">
        <v>2020</v>
      </c>
    </row>
    <row r="6" spans="1:6" ht="15.75" thickBot="1" x14ac:dyDescent="0.3">
      <c r="A6" s="7" t="s">
        <v>19</v>
      </c>
      <c r="B6" s="8" t="s">
        <v>20</v>
      </c>
      <c r="C6" s="8" t="s">
        <v>21</v>
      </c>
      <c r="D6" s="8" t="s">
        <v>22</v>
      </c>
      <c r="E6" s="7">
        <v>58000</v>
      </c>
      <c r="F6" s="7">
        <v>2017</v>
      </c>
    </row>
    <row r="7" spans="1:6" ht="15.75" thickBot="1" x14ac:dyDescent="0.3">
      <c r="A7" s="5" t="s">
        <v>23</v>
      </c>
      <c r="B7" s="6" t="s">
        <v>24</v>
      </c>
      <c r="C7" s="6" t="s">
        <v>25</v>
      </c>
      <c r="D7" s="6" t="s">
        <v>10</v>
      </c>
      <c r="E7" s="5">
        <v>48000</v>
      </c>
      <c r="F7" s="5">
        <v>2021</v>
      </c>
    </row>
    <row r="8" spans="1:6" ht="15.75" thickBot="1" x14ac:dyDescent="0.3">
      <c r="A8" s="7" t="s">
        <v>26</v>
      </c>
      <c r="B8" s="8" t="s">
        <v>27</v>
      </c>
      <c r="C8" s="8" t="s">
        <v>17</v>
      </c>
      <c r="D8" s="8" t="s">
        <v>28</v>
      </c>
      <c r="E8" s="7">
        <v>62000</v>
      </c>
      <c r="F8" s="7">
        <v>2019</v>
      </c>
    </row>
    <row r="9" spans="1:6" ht="15.75" thickBot="1" x14ac:dyDescent="0.3">
      <c r="A9" s="5" t="s">
        <v>29</v>
      </c>
      <c r="B9" s="6" t="s">
        <v>30</v>
      </c>
      <c r="C9" s="6" t="s">
        <v>9</v>
      </c>
      <c r="D9" s="6" t="s">
        <v>31</v>
      </c>
      <c r="E9" s="5">
        <v>47000</v>
      </c>
      <c r="F9" s="5">
        <v>2020</v>
      </c>
    </row>
    <row r="10" spans="1:6" ht="15.75" thickBot="1" x14ac:dyDescent="0.3">
      <c r="A10" s="7" t="s">
        <v>32</v>
      </c>
      <c r="B10" s="8" t="s">
        <v>33</v>
      </c>
      <c r="C10" s="8" t="s">
        <v>13</v>
      </c>
      <c r="D10" s="8" t="s">
        <v>18</v>
      </c>
      <c r="E10" s="7">
        <v>54000</v>
      </c>
      <c r="F10" s="7">
        <v>2016</v>
      </c>
    </row>
    <row r="13" spans="1:6" ht="25.5" thickBot="1" x14ac:dyDescent="0.3">
      <c r="A13" s="1" t="s">
        <v>34</v>
      </c>
      <c r="B13" s="2"/>
      <c r="C13" s="2"/>
      <c r="D13" s="2"/>
      <c r="E13" s="2"/>
      <c r="F13" s="2"/>
    </row>
    <row r="14" spans="1:6" ht="15.75" thickBot="1" x14ac:dyDescent="0.3">
      <c r="A14" s="15" t="s">
        <v>3</v>
      </c>
      <c r="B14" s="3" t="s">
        <v>9</v>
      </c>
      <c r="C14" s="3" t="s">
        <v>13</v>
      </c>
      <c r="D14" s="3" t="s">
        <v>17</v>
      </c>
      <c r="E14" s="3" t="s">
        <v>21</v>
      </c>
      <c r="F14" s="3" t="s">
        <v>25</v>
      </c>
    </row>
    <row r="15" spans="1:6" ht="15.75" thickBot="1" x14ac:dyDescent="0.3">
      <c r="A15" s="16" t="s">
        <v>35</v>
      </c>
      <c r="B15" s="9">
        <v>0.1</v>
      </c>
      <c r="C15" s="9">
        <v>0.08</v>
      </c>
      <c r="D15" s="9">
        <v>0.12</v>
      </c>
      <c r="E15" s="9">
        <v>0.15</v>
      </c>
      <c r="F15" s="9">
        <v>0.09</v>
      </c>
    </row>
    <row r="16" spans="1:6" x14ac:dyDescent="0.25">
      <c r="A16" s="2"/>
      <c r="B16" s="2"/>
      <c r="C16" s="2"/>
      <c r="D16" s="2"/>
      <c r="E16" s="2"/>
      <c r="F16" s="2"/>
    </row>
    <row r="17" spans="1:6" ht="25.5" thickBot="1" x14ac:dyDescent="0.3">
      <c r="A17" s="1" t="s">
        <v>36</v>
      </c>
      <c r="B17" s="2"/>
      <c r="C17" s="2"/>
      <c r="D17" s="2"/>
      <c r="E17" s="2"/>
      <c r="F17" s="2"/>
    </row>
    <row r="18" spans="1:6" ht="15.75" thickBot="1" x14ac:dyDescent="0.3">
      <c r="A18" s="15" t="s">
        <v>1</v>
      </c>
      <c r="B18" s="15" t="s">
        <v>2</v>
      </c>
      <c r="C18" s="2"/>
      <c r="D18" s="2"/>
      <c r="E18" s="2"/>
      <c r="F18" s="2"/>
    </row>
    <row r="19" spans="1:6" ht="15.75" thickBot="1" x14ac:dyDescent="0.3">
      <c r="A19" s="6" t="s">
        <v>19</v>
      </c>
      <c r="B19" s="6" t="s">
        <v>16</v>
      </c>
      <c r="C19" s="2"/>
      <c r="D19" s="2"/>
      <c r="E19" s="2"/>
      <c r="F19" s="2"/>
    </row>
    <row r="23" spans="1:6" ht="18.75" x14ac:dyDescent="0.3">
      <c r="A23" s="17" t="s">
        <v>37</v>
      </c>
      <c r="B23" s="18"/>
    </row>
    <row r="24" spans="1:6" ht="15.75" thickBot="1" x14ac:dyDescent="0.3"/>
    <row r="25" spans="1:6" ht="15.75" thickBot="1" x14ac:dyDescent="0.3">
      <c r="A25" s="4" t="s">
        <v>1</v>
      </c>
      <c r="B25" s="4" t="s">
        <v>2</v>
      </c>
    </row>
    <row r="26" spans="1:6" ht="15.75" thickBot="1" x14ac:dyDescent="0.3">
      <c r="A26" s="6" t="s">
        <v>23</v>
      </c>
      <c r="B26" s="6" t="str">
        <f>VLOOKUP(A26,A2:F10,2,0)</f>
        <v>Aman Kumar</v>
      </c>
    </row>
    <row r="29" spans="1:6" ht="18.75" x14ac:dyDescent="0.3">
      <c r="A29" s="17" t="s">
        <v>48</v>
      </c>
      <c r="B29" s="18"/>
    </row>
    <row r="30" spans="1:6" ht="15.75" thickBot="1" x14ac:dyDescent="0.3"/>
    <row r="31" spans="1:6" ht="15.75" thickBot="1" x14ac:dyDescent="0.3">
      <c r="A31" s="4" t="s">
        <v>1</v>
      </c>
      <c r="B31" s="10" t="s">
        <v>3</v>
      </c>
    </row>
    <row r="32" spans="1:6" ht="15.75" thickBot="1" x14ac:dyDescent="0.3">
      <c r="A32" s="6" t="s">
        <v>15</v>
      </c>
      <c r="B32" s="6" t="str">
        <f>VLOOKUP(A32,A2:F10,3,0)</f>
        <v>IT</v>
      </c>
    </row>
    <row r="34" spans="1:2" ht="18.75" x14ac:dyDescent="0.3">
      <c r="A34" s="17" t="s">
        <v>49</v>
      </c>
      <c r="B34" s="18"/>
    </row>
    <row r="36" spans="1:2" x14ac:dyDescent="0.25">
      <c r="A36" s="11" t="s">
        <v>2</v>
      </c>
      <c r="B36" s="11" t="s">
        <v>5</v>
      </c>
    </row>
    <row r="37" spans="1:2" x14ac:dyDescent="0.25">
      <c r="A37" t="s">
        <v>27</v>
      </c>
      <c r="B37">
        <f>VLOOKUP(A37,B2:F10,4,0)</f>
        <v>62000</v>
      </c>
    </row>
    <row r="39" spans="1:2" ht="18.75" x14ac:dyDescent="0.3">
      <c r="A39" s="17" t="s">
        <v>50</v>
      </c>
      <c r="B39" s="18"/>
    </row>
    <row r="41" spans="1:2" x14ac:dyDescent="0.25">
      <c r="A41" s="11" t="s">
        <v>1</v>
      </c>
      <c r="B41" s="11" t="s">
        <v>4</v>
      </c>
    </row>
    <row r="42" spans="1:2" x14ac:dyDescent="0.25">
      <c r="A42" t="s">
        <v>29</v>
      </c>
      <c r="B42" t="str">
        <f>VLOOKUP(A42,A2:F10,4,0)</f>
        <v>Hyderabad</v>
      </c>
    </row>
    <row r="45" spans="1:2" ht="18.75" x14ac:dyDescent="0.3">
      <c r="A45" s="17" t="s">
        <v>51</v>
      </c>
      <c r="B45" s="18"/>
    </row>
    <row r="47" spans="1:2" x14ac:dyDescent="0.25">
      <c r="A47" t="s">
        <v>1</v>
      </c>
      <c r="B47" t="s">
        <v>38</v>
      </c>
    </row>
    <row r="48" spans="1:2" x14ac:dyDescent="0.25">
      <c r="A48" t="s">
        <v>39</v>
      </c>
      <c r="B48" t="str">
        <f>IFERROR(VLOOKUP(A48,A2:F10,1,0),"Not Found")</f>
        <v>Not Found</v>
      </c>
    </row>
    <row r="50" spans="1:2" ht="18.75" x14ac:dyDescent="0.3">
      <c r="A50" s="17" t="s">
        <v>52</v>
      </c>
      <c r="B50" s="18"/>
    </row>
    <row r="52" spans="1:2" x14ac:dyDescent="0.25">
      <c r="A52" t="s">
        <v>1</v>
      </c>
      <c r="B52" t="s">
        <v>6</v>
      </c>
    </row>
    <row r="53" spans="1:2" x14ac:dyDescent="0.25">
      <c r="A53" t="s">
        <v>7</v>
      </c>
      <c r="B53">
        <f>VLOOKUP(A53,A2:F10,6,0)</f>
        <v>2019</v>
      </c>
    </row>
    <row r="55" spans="1:2" s="20" customFormat="1" ht="18.75" x14ac:dyDescent="0.3">
      <c r="A55" s="19" t="s">
        <v>53</v>
      </c>
    </row>
    <row r="57" spans="1:2" ht="18.75" x14ac:dyDescent="0.3">
      <c r="A57" s="17" t="s">
        <v>54</v>
      </c>
      <c r="B57" s="18"/>
    </row>
    <row r="58" spans="1:2" x14ac:dyDescent="0.25">
      <c r="A58" t="s">
        <v>3</v>
      </c>
      <c r="B58" t="s">
        <v>35</v>
      </c>
    </row>
    <row r="59" spans="1:2" x14ac:dyDescent="0.25">
      <c r="A59" t="s">
        <v>17</v>
      </c>
      <c r="B59">
        <f>HLOOKUP(A59,A14:F15,2,0)</f>
        <v>0.12</v>
      </c>
    </row>
    <row r="61" spans="1:2" ht="18.75" x14ac:dyDescent="0.3">
      <c r="A61" s="17" t="s">
        <v>55</v>
      </c>
      <c r="B61" s="18"/>
    </row>
    <row r="63" spans="1:2" x14ac:dyDescent="0.25">
      <c r="A63" t="s">
        <v>3</v>
      </c>
      <c r="B63" t="s">
        <v>35</v>
      </c>
    </row>
    <row r="64" spans="1:2" x14ac:dyDescent="0.25">
      <c r="A64" t="s">
        <v>21</v>
      </c>
      <c r="B64">
        <f>HLOOKUP(A64,A14:F15,2,0)</f>
        <v>0.15</v>
      </c>
    </row>
    <row r="67" spans="1:5" ht="18.75" x14ac:dyDescent="0.3">
      <c r="A67" s="17" t="s">
        <v>56</v>
      </c>
      <c r="B67" s="18"/>
    </row>
    <row r="70" spans="1:5" x14ac:dyDescent="0.25">
      <c r="A70" t="s">
        <v>1</v>
      </c>
      <c r="B70" t="s">
        <v>3</v>
      </c>
      <c r="C70" t="s">
        <v>5</v>
      </c>
      <c r="D70" t="s">
        <v>40</v>
      </c>
      <c r="E70" t="s">
        <v>41</v>
      </c>
    </row>
    <row r="71" spans="1:5" x14ac:dyDescent="0.25">
      <c r="A71" t="s">
        <v>19</v>
      </c>
      <c r="B71" t="str">
        <f>VLOOKUP(A71,A2:F10,3,0)</f>
        <v>Finance</v>
      </c>
      <c r="C71">
        <f>VLOOKUP(A71,A2:F10,5,0)</f>
        <v>58000</v>
      </c>
      <c r="D71" s="12">
        <f>HLOOKUP(B71,A14:F15,2,0)</f>
        <v>0.15</v>
      </c>
      <c r="E71">
        <f>C71*D71</f>
        <v>8700</v>
      </c>
    </row>
    <row r="75" spans="1:5" x14ac:dyDescent="0.25">
      <c r="A75" t="s">
        <v>3</v>
      </c>
      <c r="B75" t="s">
        <v>42</v>
      </c>
    </row>
    <row r="76" spans="1:5" x14ac:dyDescent="0.25">
      <c r="A76" t="s">
        <v>43</v>
      </c>
      <c r="B76" t="str">
        <f>IFERROR(HLOOKUP(A76,A14:F15,1,0),"No Bonus Data")</f>
        <v>No Bonus Data</v>
      </c>
    </row>
    <row r="81" spans="1:2" x14ac:dyDescent="0.25">
      <c r="A81" t="s">
        <v>44</v>
      </c>
      <c r="B81" t="s">
        <v>5</v>
      </c>
    </row>
    <row r="82" spans="1:2" x14ac:dyDescent="0.25">
      <c r="A82" t="s">
        <v>23</v>
      </c>
      <c r="B82">
        <f>_xlfn.XLOOKUP(A82,A3:A10,E3:E10)</f>
        <v>48000</v>
      </c>
    </row>
    <row r="86" spans="1:2" x14ac:dyDescent="0.25">
      <c r="A86" t="s">
        <v>45</v>
      </c>
      <c r="B86" t="s">
        <v>3</v>
      </c>
    </row>
    <row r="87" spans="1:2" x14ac:dyDescent="0.25">
      <c r="A87" t="s">
        <v>16</v>
      </c>
      <c r="B87" t="str">
        <f>_xlfn.XLOOKUP(A87,B3:B10,C3:C10)</f>
        <v>IT</v>
      </c>
    </row>
    <row r="91" spans="1:2" x14ac:dyDescent="0.25">
      <c r="A91" t="s">
        <v>45</v>
      </c>
      <c r="B91" t="s">
        <v>4</v>
      </c>
    </row>
    <row r="92" spans="1:2" ht="17.25" x14ac:dyDescent="0.3">
      <c r="A92" s="13" t="s">
        <v>16</v>
      </c>
      <c r="B92" t="str">
        <f>_xlfn.XLOOKUP(A92,B2:B10,D2:D10)</f>
        <v>Bangalore</v>
      </c>
    </row>
    <row r="97" spans="1:2" x14ac:dyDescent="0.25">
      <c r="A97" t="s">
        <v>46</v>
      </c>
      <c r="B97" t="s">
        <v>38</v>
      </c>
    </row>
    <row r="98" spans="1:2" x14ac:dyDescent="0.25">
      <c r="A98" t="s">
        <v>47</v>
      </c>
      <c r="B98" t="str">
        <f>_xlfn.XLOOKUP(A98,A2:A10,B2:B10,"Employee not found")</f>
        <v>Employee not found</v>
      </c>
    </row>
    <row r="102" spans="1:2" x14ac:dyDescent="0.25">
      <c r="A102" t="s">
        <v>3</v>
      </c>
      <c r="B102" t="s">
        <v>40</v>
      </c>
    </row>
    <row r="103" spans="1:2" x14ac:dyDescent="0.25">
      <c r="A103" t="s">
        <v>21</v>
      </c>
      <c r="B103">
        <f>_xlfn.XLOOKUP(A103,A14:F14,A15:F15)</f>
        <v>0.15</v>
      </c>
    </row>
  </sheetData>
  <mergeCells count="10">
    <mergeCell ref="A50:B50"/>
    <mergeCell ref="A55:XFD55"/>
    <mergeCell ref="A57:B57"/>
    <mergeCell ref="A61:B61"/>
    <mergeCell ref="A67:B67"/>
    <mergeCell ref="A23:B23"/>
    <mergeCell ref="A29:B29"/>
    <mergeCell ref="A34:B34"/>
    <mergeCell ref="A39:B39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2026-06-29T09:52:21Z</dcterms:created>
  <dcterms:modified xsi:type="dcterms:W3CDTF">2026-06-29T11:56:21Z</dcterms:modified>
</cp:coreProperties>
</file>