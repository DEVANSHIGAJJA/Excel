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dc4b4fee7e3d8e21/Desktop/Devanshi--DA-17/ExcelWork/"/>
    </mc:Choice>
  </mc:AlternateContent>
  <xr:revisionPtr revIDLastSave="0" documentId="8_{9199874E-B80D-4A1F-9251-4F5062E1BEA5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Instructions" sheetId="1" r:id="rId1"/>
    <sheet name="Sales_Data" sheetId="2" r:id="rId2"/>
    <sheet name="Product_Master" sheetId="3" r:id="rId3"/>
    <sheet name="Sheet5" sheetId="10" r:id="rId4"/>
    <sheet name="Student_Marks" sheetId="4" r:id="rId5"/>
    <sheet name="Questions" sheetId="5" r:id="rId6"/>
    <sheet name="Answers" sheetId="6" r:id="rId7"/>
  </sheets>
  <calcPr calcId="191029"/>
  <pivotCaches>
    <pivotCache cacheId="7" r:id="rId8"/>
    <pivotCache cacheId="1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65" i="6" l="1"/>
  <c r="A64" i="6"/>
  <c r="A63" i="6"/>
  <c r="A62" i="6"/>
  <c r="A61" i="6"/>
  <c r="G73" i="6"/>
  <c r="G72" i="6"/>
  <c r="G71" i="6"/>
  <c r="G70" i="6"/>
  <c r="G69" i="6"/>
  <c r="G2" i="4"/>
  <c r="G3" i="4"/>
  <c r="G4" i="4"/>
  <c r="G5" i="4"/>
  <c r="G6" i="4"/>
  <c r="B60" i="5"/>
  <c r="B12" i="6"/>
  <c r="B4" i="6"/>
  <c r="B5" i="6"/>
  <c r="B6" i="6"/>
  <c r="B7" i="6"/>
  <c r="B8" i="6"/>
  <c r="B3" i="6"/>
  <c r="J79" i="5"/>
</calcChain>
</file>

<file path=xl/sharedStrings.xml><?xml version="1.0" encoding="utf-8"?>
<sst xmlns="http://schemas.openxmlformats.org/spreadsheetml/2006/main" count="141" uniqueCount="86">
  <si>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</si>
  <si>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</si>
  <si>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</si>
  <si>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</si>
  <si>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</si>
  <si>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</si>
  <si>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</si>
  <si>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</si>
  <si>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</si>
  <si>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</si>
  <si>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</si>
  <si>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</si>
  <si>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</si>
  <si>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</si>
  <si>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</si>
  <si>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</si>
  <si>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</si>
  <si>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</si>
  <si>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</si>
  <si>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</si>
  <si>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</si>
  <si>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</si>
  <si>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</si>
  <si>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</si>
  <si>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</si>
  <si>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</si>
  <si>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</si>
  <si>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</si>
  <si>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</si>
  <si>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</si>
  <si>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</si>
  <si>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</si>
  <si>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</si>
  <si>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</si>
  <si>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</si>
  <si>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</si>
  <si>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</si>
  <si>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</si>
  <si>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</si>
  <si>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</si>
  <si>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</si>
  <si>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</si>
  <si>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</si>
  <si>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</si>
  <si>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</si>
  <si>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</si>
  <si>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</si>
  <si>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</si>
  <si>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</si>
  <si>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</si>
  <si>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</si>
  <si>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</si>
  <si>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</si>
  <si>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</si>
  <si>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</si>
  <si>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</si>
  <si>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</si>
  <si>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</si>
  <si>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</si>
  <si>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</si>
  <si>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</si>
  <si>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</si>
  <si>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</si>
  <si>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</si>
  <si>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</si>
  <si>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</si>
  <si>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</si>
  <si>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</si>
  <si>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</si>
  <si>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</si>
  <si>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</si>
  <si>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</si>
  <si>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</si>
  <si>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order</t>
  </si>
  <si>
    <t>sales</t>
  </si>
  <si>
    <t>laptop</t>
  </si>
  <si>
    <t>product</t>
  </si>
  <si>
    <t>gst</t>
  </si>
  <si>
    <t>Row Labels</t>
  </si>
  <si>
    <t>Grand Total</t>
  </si>
  <si>
    <t>Sum of Quantity</t>
  </si>
  <si>
    <t>Sum of Unit_Price</t>
  </si>
  <si>
    <t>Sum of Excel</t>
  </si>
  <si>
    <t>students</t>
  </si>
  <si>
    <t>eligible or not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</si>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</sst>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 (3).xlsx]Sheet5!PivotTable4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Sheet5!$A$4:$A$9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1-4F38-89C5-562013B4C8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86541967"/>
        <c:axId val="1586542799"/>
      </c:barChart>
      <c:catAx>
        <c:axId val="1586541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542799"/>
        <c:crosses val="autoZero"/>
        <c:auto val="1"/>
        <c:lblAlgn val="ctr"/>
        <c:lblOffset val="100"/>
        <c:noMultiLvlLbl val="0"/>
      </c:catAx>
      <c:valAx>
        <c:axId val="158654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54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0</xdr:rowOff>
    </xdr:from>
    <xdr:to>
      <xdr:col>4</xdr:col>
      <xdr:colOff>609599</xdr:colOff>
      <xdr:row>55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53A6D0-A1E3-4C11-8080-B48FF8FD1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2" refreshedDate="46210.623002893517" createdVersion="8" refreshedVersion="8" minRefreshableVersion="3" recordCount="6" xr:uid="{E752BEE0-C2ED-4124-8031-0ACC1688222B}">
  <cacheSource type="worksheet">
    <worksheetSource ref="A1:G7" sheet="Sales_Data"/>
  </cacheSource>
  <cacheFields count="7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 count="5">
        <n v="2"/>
        <n v="5"/>
        <n v="3"/>
        <n v="1"/>
        <n v="4"/>
      </sharedItems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2" refreshedDate="46210.629535185188" createdVersion="8" refreshedVersion="8" minRefreshableVersion="3" recordCount="5" xr:uid="{FFFCC6E3-2C9F-4B89-A49A-E21BC260ED1D}">
  <cacheSource type="worksheet">
    <worksheetSource ref="A1:F6" sheet="Student_Marks"/>
  </cacheSource>
  <cacheFields count="6">
    <cacheField name="Student_ID" numFmtId="0">
      <sharedItems containsSemiMixedTypes="0" containsString="0" containsNumber="1" containsInteger="1" minValue="1" maxValue="5"/>
    </cacheField>
    <cacheField name="Name" numFmtId="0">
      <sharedItems count="5">
        <s v="Rahul"/>
        <s v="Sneha"/>
        <s v="Arjun"/>
        <s v="Pooja"/>
        <s v="Vikas"/>
      </sharedItems>
    </cacheField>
    <cacheField name="Maths" numFmtId="0">
      <sharedItems containsSemiMixedTypes="0" containsString="0" containsNumber="1" containsInteger="1" minValue="55" maxValue="92"/>
    </cacheField>
    <cacheField name="Statistics" numFmtId="0">
      <sharedItems containsSemiMixedTypes="0" containsString="0" containsNumber="1" containsInteger="1" minValue="60" maxValue="91"/>
    </cacheField>
    <cacheField name="Excel" numFmtId="0">
      <sharedItems containsSemiMixedTypes="0" containsString="0" containsNumber="1" containsInteger="1" minValue="58" maxValue="94"/>
    </cacheField>
    <cacheField name="Attendance_%" numFmtId="0">
      <sharedItems containsSemiMixedTypes="0" containsString="0" containsNumber="1" containsInteger="1" minValue="80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x v="0"/>
    <n v="45000"/>
    <s v="05-01-2025"/>
  </r>
  <r>
    <n v="302"/>
    <x v="1"/>
    <s v="Riya"/>
    <x v="1"/>
    <x v="1"/>
    <n v="15000"/>
    <s v="07-01-2025"/>
  </r>
  <r>
    <n v="303"/>
    <x v="2"/>
    <s v="Kunal"/>
    <x v="2"/>
    <x v="2"/>
    <n v="18000"/>
    <s v="10-01-2025"/>
  </r>
  <r>
    <n v="304"/>
    <x v="3"/>
    <s v="Neha"/>
    <x v="0"/>
    <x v="3"/>
    <n v="45000"/>
    <s v="12-01-2025"/>
  </r>
  <r>
    <n v="305"/>
    <x v="0"/>
    <s v="Amit"/>
    <x v="1"/>
    <x v="4"/>
    <n v="15000"/>
    <s v="15-01-2025"/>
  </r>
  <r>
    <n v="306"/>
    <x v="1"/>
    <s v="Riya"/>
    <x v="0"/>
    <x v="0"/>
    <n v="45000"/>
    <s v="18-01-20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n v="78"/>
    <n v="82"/>
    <n v="85"/>
    <n v="92"/>
  </r>
  <r>
    <n v="2"/>
    <x v="1"/>
    <n v="88"/>
    <n v="91"/>
    <n v="90"/>
    <n v="96"/>
  </r>
  <r>
    <n v="3"/>
    <x v="2"/>
    <n v="65"/>
    <n v="70"/>
    <n v="72"/>
    <n v="85"/>
  </r>
  <r>
    <n v="4"/>
    <x v="3"/>
    <n v="92"/>
    <n v="89"/>
    <n v="94"/>
    <n v="98"/>
  </r>
  <r>
    <n v="5"/>
    <x v="4"/>
    <n v="55"/>
    <n v="60"/>
    <n v="58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CE28C-4DC3-4935-A7B1-2DE1B40BDFAD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6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cel" fld="4" baseField="0" baseItem="0"/>
  </dataField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EF2CE7-E93B-4358-B684-11735B357198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C42" firstHeaderRow="0" firstDataRow="1" firstDataCol="1"/>
  <pivotFields count="7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_Price" fld="5" baseField="0" baseItem="0"/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BBD55-6ED2-40AC-B2CF-5BE4D122A81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C34" firstHeaderRow="0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Sum of Unit_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48C04-6144-4664-AA18-0D23ADB3E6C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C25" firstHeaderRow="0" firstDataRow="1" firstDataCol="1"/>
  <pivotFields count="7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>
      <items count="6">
        <item x="3"/>
        <item x="0"/>
        <item x="2"/>
        <item x="4"/>
        <item x="1"/>
        <item t="default"/>
      </items>
    </pivotField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_Price" fld="5" baseField="0" baseItem="0"/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N15" sqref="N15"/>
    </sheetView>
  </sheetViews>
  <sheetFormatPr defaultRowHeight="15" x14ac:dyDescent="0.25"/>
  <cols>
    <col min="3" max="3" width="12.42578125" customWidth="1"/>
    <col min="4" max="4" width="15" customWidth="1"/>
    <col min="5" max="5" width="12.85546875" customWidth="1"/>
    <col min="6" max="6" width="15.140625" customWidth="1"/>
    <col min="7" max="7" width="15.7109375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F31" sqref="F31"/>
    </sheetView>
  </sheetViews>
  <sheetFormatPr defaultRowHeight="15" x14ac:dyDescent="0.25"/>
  <cols>
    <col min="1" max="1" width="11.28515625" customWidth="1"/>
  </cols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69B35-9D3E-46BA-86B7-D47C31F6E540}">
  <dimension ref="A3:B9"/>
  <sheetViews>
    <sheetView workbookViewId="0">
      <selection activeCell="Q13" sqref="Q13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78</v>
      </c>
      <c r="B3" t="s">
        <v>82</v>
      </c>
    </row>
    <row r="4" spans="1:2" x14ac:dyDescent="0.25">
      <c r="A4" s="3" t="s">
        <v>39</v>
      </c>
      <c r="B4" s="4">
        <v>72</v>
      </c>
    </row>
    <row r="5" spans="1:2" x14ac:dyDescent="0.25">
      <c r="A5" s="3" t="s">
        <v>40</v>
      </c>
      <c r="B5" s="4">
        <v>94</v>
      </c>
    </row>
    <row r="6" spans="1:2" x14ac:dyDescent="0.25">
      <c r="A6" s="3" t="s">
        <v>37</v>
      </c>
      <c r="B6" s="4">
        <v>85</v>
      </c>
    </row>
    <row r="7" spans="1:2" x14ac:dyDescent="0.25">
      <c r="A7" s="3" t="s">
        <v>38</v>
      </c>
      <c r="B7" s="4">
        <v>90</v>
      </c>
    </row>
    <row r="8" spans="1:2" x14ac:dyDescent="0.25">
      <c r="A8" s="3" t="s">
        <v>41</v>
      </c>
      <c r="B8" s="4">
        <v>58</v>
      </c>
    </row>
    <row r="9" spans="1:2" x14ac:dyDescent="0.25">
      <c r="A9" s="3" t="s">
        <v>79</v>
      </c>
      <c r="B9" s="4">
        <v>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selection sqref="A1:G6"/>
    </sheetView>
  </sheetViews>
  <sheetFormatPr defaultRowHeight="15" x14ac:dyDescent="0.25"/>
  <cols>
    <col min="1" max="1" width="14.140625" customWidth="1"/>
    <col min="2" max="2" width="13.85546875" customWidth="1"/>
    <col min="3" max="3" width="13.140625" customWidth="1"/>
    <col min="6" max="6" width="13.42578125" customWidth="1"/>
    <col min="7" max="7" width="13" customWidth="1"/>
  </cols>
  <sheetData>
    <row r="1" spans="1:7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85</v>
      </c>
    </row>
    <row r="2" spans="1:7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  <c r="G2">
        <f>AVERAGE(A2:F2)</f>
        <v>67.599999999999994</v>
      </c>
    </row>
    <row r="3" spans="1:7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  <c r="G3">
        <f>AVERAGE(A3:F3)</f>
        <v>73.400000000000006</v>
      </c>
    </row>
    <row r="4" spans="1:7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  <c r="G4">
        <f>AVERAGE(A4:F4)</f>
        <v>59</v>
      </c>
    </row>
    <row r="5" spans="1:7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  <c r="G5">
        <f>AVERAGE(A5:F5)</f>
        <v>75.400000000000006</v>
      </c>
    </row>
    <row r="6" spans="1:7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  <c r="G6">
        <f>AVERAGE(A6:F6)</f>
        <v>51.6</v>
      </c>
    </row>
    <row r="10" spans="1:7" x14ac:dyDescent="0.25">
      <c r="B10" t="s">
        <v>83</v>
      </c>
      <c r="C10" t="s">
        <v>84</v>
      </c>
    </row>
    <row r="11" spans="1:7" x14ac:dyDescent="0.25">
      <c r="B11" t="s">
        <v>37</v>
      </c>
    </row>
    <row r="12" spans="1:7" x14ac:dyDescent="0.25">
      <c r="B12" t="s">
        <v>38</v>
      </c>
    </row>
    <row r="13" spans="1:7" x14ac:dyDescent="0.25">
      <c r="B13" t="s">
        <v>39</v>
      </c>
    </row>
    <row r="14" spans="1:7" x14ac:dyDescent="0.25">
      <c r="B14" t="s">
        <v>40</v>
      </c>
    </row>
    <row r="15" spans="1:7" x14ac:dyDescent="0.25">
      <c r="B15" t="s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9"/>
  <sheetViews>
    <sheetView topLeftCell="A46" workbookViewId="0">
      <selection activeCell="B64" sqref="B64:B68"/>
    </sheetView>
  </sheetViews>
  <sheetFormatPr defaultRowHeight="15" x14ac:dyDescent="0.25"/>
  <cols>
    <col min="2" max="2" width="13.140625" bestFit="1" customWidth="1"/>
    <col min="3" max="3" width="15.42578125" bestFit="1" customWidth="1"/>
    <col min="4" max="4" width="17" bestFit="1" customWidth="1"/>
  </cols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8" spans="1:10" x14ac:dyDescent="0.25">
      <c r="A8" t="s">
        <v>48</v>
      </c>
      <c r="J8">
        <v>2</v>
      </c>
    </row>
    <row r="9" spans="1:10" x14ac:dyDescent="0.25">
      <c r="A9" t="s">
        <v>49</v>
      </c>
      <c r="J9">
        <v>2</v>
      </c>
    </row>
    <row r="10" spans="1:10" x14ac:dyDescent="0.25">
      <c r="A10" t="s">
        <v>50</v>
      </c>
      <c r="J10">
        <v>2</v>
      </c>
    </row>
    <row r="11" spans="1:10" x14ac:dyDescent="0.25">
      <c r="A11" t="s">
        <v>51</v>
      </c>
      <c r="J11">
        <v>2</v>
      </c>
    </row>
    <row r="12" spans="1:10" x14ac:dyDescent="0.25">
      <c r="A12" t="s">
        <v>52</v>
      </c>
      <c r="J12">
        <v>2</v>
      </c>
    </row>
    <row r="13" spans="1:10" x14ac:dyDescent="0.25">
      <c r="A13" t="s">
        <v>53</v>
      </c>
      <c r="J13">
        <v>2</v>
      </c>
    </row>
    <row r="18" spans="1:10" x14ac:dyDescent="0.25">
      <c r="A18" t="s">
        <v>54</v>
      </c>
      <c r="J18">
        <v>2</v>
      </c>
    </row>
    <row r="19" spans="1:10" x14ac:dyDescent="0.25">
      <c r="A19" t="s">
        <v>55</v>
      </c>
      <c r="J19">
        <v>2</v>
      </c>
    </row>
    <row r="23" spans="1:10" x14ac:dyDescent="0.25">
      <c r="A23" t="s">
        <v>56</v>
      </c>
      <c r="J23">
        <v>2</v>
      </c>
    </row>
    <row r="25" spans="1:10" x14ac:dyDescent="0.25">
      <c r="A25" t="s">
        <v>57</v>
      </c>
      <c r="J25">
        <v>2</v>
      </c>
    </row>
    <row r="31" spans="1:10" x14ac:dyDescent="0.25">
      <c r="A31" t="s">
        <v>58</v>
      </c>
      <c r="J31">
        <v>2</v>
      </c>
    </row>
    <row r="39" spans="1:10" x14ac:dyDescent="0.25">
      <c r="A39" t="s">
        <v>59</v>
      </c>
      <c r="J39">
        <v>2</v>
      </c>
    </row>
    <row r="47" spans="1:10" x14ac:dyDescent="0.25">
      <c r="A47" t="s">
        <v>60</v>
      </c>
      <c r="J47">
        <v>2</v>
      </c>
    </row>
    <row r="59" spans="1:10" x14ac:dyDescent="0.25">
      <c r="A59" t="s">
        <v>61</v>
      </c>
      <c r="J59">
        <v>2</v>
      </c>
    </row>
    <row r="60" spans="1:10" x14ac:dyDescent="0.25">
      <c r="B60">
        <f>MEDIAN(Student_Marks!B2,Student_Marks!D2)</f>
        <v>82</v>
      </c>
    </row>
    <row r="62" spans="1:10" x14ac:dyDescent="0.25">
      <c r="A62" t="s">
        <v>62</v>
      </c>
      <c r="J62">
        <v>2</v>
      </c>
    </row>
    <row r="63" spans="1:10" x14ac:dyDescent="0.25">
      <c r="A63" t="s">
        <v>63</v>
      </c>
      <c r="J63">
        <v>2</v>
      </c>
    </row>
    <row r="70" spans="1:10" x14ac:dyDescent="0.25">
      <c r="A70" t="s">
        <v>64</v>
      </c>
      <c r="J70">
        <v>2</v>
      </c>
    </row>
    <row r="71" spans="1:10" x14ac:dyDescent="0.25">
      <c r="A71" t="s">
        <v>65</v>
      </c>
      <c r="J71">
        <v>2</v>
      </c>
    </row>
    <row r="72" spans="1:10" x14ac:dyDescent="0.25">
      <c r="A72" t="s">
        <v>66</v>
      </c>
      <c r="J72">
        <v>2</v>
      </c>
    </row>
    <row r="73" spans="1:10" x14ac:dyDescent="0.25">
      <c r="A73" t="s">
        <v>67</v>
      </c>
      <c r="J73">
        <v>2</v>
      </c>
    </row>
    <row r="74" spans="1:10" x14ac:dyDescent="0.25">
      <c r="A74" t="s">
        <v>68</v>
      </c>
      <c r="J74">
        <v>2</v>
      </c>
    </row>
    <row r="75" spans="1:10" x14ac:dyDescent="0.25">
      <c r="A75" t="s">
        <v>69</v>
      </c>
      <c r="J75">
        <v>2</v>
      </c>
    </row>
    <row r="76" spans="1:10" x14ac:dyDescent="0.25">
      <c r="A76" t="s">
        <v>70</v>
      </c>
      <c r="J76">
        <v>2</v>
      </c>
    </row>
    <row r="77" spans="1:10" x14ac:dyDescent="0.25">
      <c r="A77" t="s">
        <v>71</v>
      </c>
      <c r="J77">
        <v>2</v>
      </c>
    </row>
    <row r="79" spans="1:10" x14ac:dyDescent="0.25">
      <c r="J79">
        <f>SUM(J1:J77)</f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74FB-B5EE-41DD-B866-F774BAA860C2}">
  <dimension ref="A1:G73"/>
  <sheetViews>
    <sheetView tabSelected="1" topLeftCell="A34" workbookViewId="0">
      <selection activeCell="F64" sqref="F64"/>
    </sheetView>
  </sheetViews>
  <sheetFormatPr defaultRowHeight="15" x14ac:dyDescent="0.25"/>
  <cols>
    <col min="1" max="1" width="14.140625" customWidth="1"/>
    <col min="2" max="2" width="12.28515625" customWidth="1"/>
  </cols>
  <sheetData>
    <row r="1" spans="1:2" s="1" customFormat="1" x14ac:dyDescent="0.25">
      <c r="A1" s="1">
        <v>1</v>
      </c>
    </row>
    <row r="2" spans="1:2" x14ac:dyDescent="0.25">
      <c r="A2" t="s">
        <v>73</v>
      </c>
      <c r="B2" t="s">
        <v>74</v>
      </c>
    </row>
    <row r="3" spans="1:2" x14ac:dyDescent="0.25">
      <c r="A3">
        <v>301</v>
      </c>
      <c r="B3">
        <f>VLOOKUP(A3,Sales_Data!A1:G7,5,0)</f>
        <v>2</v>
      </c>
    </row>
    <row r="4" spans="1:2" x14ac:dyDescent="0.25">
      <c r="A4">
        <v>302</v>
      </c>
      <c r="B4">
        <f>VLOOKUP(A4,Sales_Data!A2:G8,5,0)</f>
        <v>5</v>
      </c>
    </row>
    <row r="5" spans="1:2" x14ac:dyDescent="0.25">
      <c r="A5">
        <v>303</v>
      </c>
      <c r="B5">
        <f>VLOOKUP(A5,Sales_Data!A3:G9,5,0)</f>
        <v>3</v>
      </c>
    </row>
    <row r="6" spans="1:2" x14ac:dyDescent="0.25">
      <c r="A6">
        <v>304</v>
      </c>
      <c r="B6">
        <f>VLOOKUP(A6,Sales_Data!A4:G10,5,0)</f>
        <v>1</v>
      </c>
    </row>
    <row r="7" spans="1:2" x14ac:dyDescent="0.25">
      <c r="A7">
        <v>305</v>
      </c>
      <c r="B7">
        <f>VLOOKUP(A7,Sales_Data!A5:G11,5,0)</f>
        <v>4</v>
      </c>
    </row>
    <row r="8" spans="1:2" x14ac:dyDescent="0.25">
      <c r="A8">
        <v>306</v>
      </c>
      <c r="B8">
        <f>VLOOKUP(A8,Sales_Data!A6:G12,5,0)</f>
        <v>2</v>
      </c>
    </row>
    <row r="10" spans="1:2" x14ac:dyDescent="0.25">
      <c r="A10">
        <v>2</v>
      </c>
    </row>
    <row r="11" spans="1:2" x14ac:dyDescent="0.25">
      <c r="A11" t="s">
        <v>76</v>
      </c>
      <c r="B11" t="s">
        <v>77</v>
      </c>
    </row>
    <row r="12" spans="1:2" x14ac:dyDescent="0.25">
      <c r="A12" t="s">
        <v>75</v>
      </c>
      <c r="B12">
        <f>VLOOKUP(A12,Product_Master!A1:C4,3,0)</f>
        <v>18</v>
      </c>
    </row>
    <row r="14" spans="1:2" x14ac:dyDescent="0.25">
      <c r="A14">
        <v>3</v>
      </c>
    </row>
    <row r="20" spans="1:3" x14ac:dyDescent="0.25">
      <c r="A20">
        <v>16</v>
      </c>
    </row>
    <row r="21" spans="1:3" x14ac:dyDescent="0.25">
      <c r="A21" s="2" t="s">
        <v>78</v>
      </c>
      <c r="B21" t="s">
        <v>81</v>
      </c>
      <c r="C21" t="s">
        <v>80</v>
      </c>
    </row>
    <row r="22" spans="1:3" x14ac:dyDescent="0.25">
      <c r="A22" s="3" t="s">
        <v>13</v>
      </c>
      <c r="B22" s="4">
        <v>135000</v>
      </c>
      <c r="C22" s="4">
        <v>5</v>
      </c>
    </row>
    <row r="23" spans="1:3" x14ac:dyDescent="0.25">
      <c r="A23" s="3" t="s">
        <v>17</v>
      </c>
      <c r="B23" s="4">
        <v>30000</v>
      </c>
      <c r="C23" s="4">
        <v>9</v>
      </c>
    </row>
    <row r="24" spans="1:3" x14ac:dyDescent="0.25">
      <c r="A24" s="3" t="s">
        <v>21</v>
      </c>
      <c r="B24" s="4">
        <v>18000</v>
      </c>
      <c r="C24" s="4">
        <v>3</v>
      </c>
    </row>
    <row r="25" spans="1:3" x14ac:dyDescent="0.25">
      <c r="A25" s="3" t="s">
        <v>79</v>
      </c>
      <c r="B25" s="4">
        <v>183000</v>
      </c>
      <c r="C25" s="4">
        <v>17</v>
      </c>
    </row>
    <row r="28" spans="1:3" x14ac:dyDescent="0.25">
      <c r="A28">
        <v>17</v>
      </c>
    </row>
    <row r="29" spans="1:3" x14ac:dyDescent="0.25">
      <c r="A29" s="2" t="s">
        <v>78</v>
      </c>
      <c r="B29" t="s">
        <v>80</v>
      </c>
      <c r="C29" t="s">
        <v>81</v>
      </c>
    </row>
    <row r="30" spans="1:3" x14ac:dyDescent="0.25">
      <c r="A30" s="3" t="s">
        <v>19</v>
      </c>
      <c r="B30" s="4">
        <v>3</v>
      </c>
      <c r="C30" s="4">
        <v>18000</v>
      </c>
    </row>
    <row r="31" spans="1:3" x14ac:dyDescent="0.25">
      <c r="A31" s="3" t="s">
        <v>11</v>
      </c>
      <c r="B31" s="4">
        <v>6</v>
      </c>
      <c r="C31" s="4">
        <v>60000</v>
      </c>
    </row>
    <row r="32" spans="1:3" x14ac:dyDescent="0.25">
      <c r="A32" s="3" t="s">
        <v>15</v>
      </c>
      <c r="B32" s="4">
        <v>7</v>
      </c>
      <c r="C32" s="4">
        <v>60000</v>
      </c>
    </row>
    <row r="33" spans="1:3" x14ac:dyDescent="0.25">
      <c r="A33" s="3" t="s">
        <v>23</v>
      </c>
      <c r="B33" s="4">
        <v>1</v>
      </c>
      <c r="C33" s="4">
        <v>45000</v>
      </c>
    </row>
    <row r="34" spans="1:3" x14ac:dyDescent="0.25">
      <c r="A34" s="3" t="s">
        <v>79</v>
      </c>
      <c r="B34" s="4">
        <v>17</v>
      </c>
      <c r="C34" s="4">
        <v>183000</v>
      </c>
    </row>
    <row r="37" spans="1:3" x14ac:dyDescent="0.25">
      <c r="A37">
        <v>18</v>
      </c>
    </row>
    <row r="38" spans="1:3" x14ac:dyDescent="0.25">
      <c r="A38" s="2" t="s">
        <v>78</v>
      </c>
      <c r="B38" t="s">
        <v>81</v>
      </c>
      <c r="C38" t="s">
        <v>80</v>
      </c>
    </row>
    <row r="39" spans="1:3" x14ac:dyDescent="0.25">
      <c r="A39" s="3" t="s">
        <v>13</v>
      </c>
      <c r="B39" s="4">
        <v>135000</v>
      </c>
      <c r="C39" s="4">
        <v>5</v>
      </c>
    </row>
    <row r="40" spans="1:3" x14ac:dyDescent="0.25">
      <c r="A40" s="3" t="s">
        <v>17</v>
      </c>
      <c r="B40" s="4">
        <v>30000</v>
      </c>
      <c r="C40" s="4">
        <v>9</v>
      </c>
    </row>
    <row r="41" spans="1:3" x14ac:dyDescent="0.25">
      <c r="A41" s="3" t="s">
        <v>21</v>
      </c>
      <c r="B41" s="4">
        <v>18000</v>
      </c>
      <c r="C41" s="4">
        <v>3</v>
      </c>
    </row>
    <row r="42" spans="1:3" x14ac:dyDescent="0.25">
      <c r="A42" s="3" t="s">
        <v>79</v>
      </c>
      <c r="B42" s="4">
        <v>183000</v>
      </c>
      <c r="C42" s="4">
        <v>17</v>
      </c>
    </row>
    <row r="45" spans="1:3" x14ac:dyDescent="0.25">
      <c r="A45">
        <v>19</v>
      </c>
    </row>
    <row r="59" spans="1:1" x14ac:dyDescent="0.25">
      <c r="A59">
        <v>20</v>
      </c>
    </row>
    <row r="60" spans="1:1" x14ac:dyDescent="0.25">
      <c r="A60">
        <v>22</v>
      </c>
    </row>
    <row r="61" spans="1:1" x14ac:dyDescent="0.25">
      <c r="A61" t="str">
        <f>_xlfn.CONCAT(Student_Marks!A2,Student_Marks!B2)</f>
        <v>1Rahul</v>
      </c>
    </row>
    <row r="62" spans="1:1" x14ac:dyDescent="0.25">
      <c r="A62" t="str">
        <f>_xlfn.CONCAT(Student_Marks!A3,Student_Marks!B3)</f>
        <v>2Sneha</v>
      </c>
    </row>
    <row r="63" spans="1:1" x14ac:dyDescent="0.25">
      <c r="A63" t="str">
        <f>_xlfn.CONCAT(Student_Marks!A4,Student_Marks!B4)</f>
        <v>3Arjun</v>
      </c>
    </row>
    <row r="64" spans="1:1" x14ac:dyDescent="0.25">
      <c r="A64" t="str">
        <f>_xlfn.CONCAT(Student_Marks!A5,Student_Marks!B5)</f>
        <v>4Pooja</v>
      </c>
    </row>
    <row r="65" spans="1:7" x14ac:dyDescent="0.25">
      <c r="A65" t="str">
        <f>_xlfn.CONCAT(Student_Marks!A6,Student_Marks!B6)</f>
        <v>5Vikas</v>
      </c>
    </row>
    <row r="67" spans="1:7" x14ac:dyDescent="0.25">
      <c r="A67">
        <v>12</v>
      </c>
    </row>
    <row r="68" spans="1:7" x14ac:dyDescent="0.25">
      <c r="A68" t="s">
        <v>31</v>
      </c>
      <c r="B68" t="s">
        <v>32</v>
      </c>
      <c r="C68" t="s">
        <v>33</v>
      </c>
      <c r="D68" t="s">
        <v>34</v>
      </c>
      <c r="E68" t="s">
        <v>35</v>
      </c>
      <c r="F68" t="s">
        <v>36</v>
      </c>
      <c r="G68" t="s">
        <v>85</v>
      </c>
    </row>
    <row r="69" spans="1:7" x14ac:dyDescent="0.25">
      <c r="A69">
        <v>1</v>
      </c>
      <c r="B69" t="s">
        <v>37</v>
      </c>
      <c r="C69">
        <v>78</v>
      </c>
      <c r="D69">
        <v>82</v>
      </c>
      <c r="E69">
        <v>85</v>
      </c>
      <c r="F69">
        <v>92</v>
      </c>
      <c r="G69">
        <f>AVERAGE(A69:F69)</f>
        <v>67.599999999999994</v>
      </c>
    </row>
    <row r="70" spans="1:7" x14ac:dyDescent="0.25">
      <c r="A70">
        <v>2</v>
      </c>
      <c r="B70" t="s">
        <v>38</v>
      </c>
      <c r="C70">
        <v>88</v>
      </c>
      <c r="D70">
        <v>91</v>
      </c>
      <c r="E70">
        <v>90</v>
      </c>
      <c r="F70">
        <v>96</v>
      </c>
      <c r="G70">
        <f>AVERAGE(A70:F70)</f>
        <v>73.400000000000006</v>
      </c>
    </row>
    <row r="71" spans="1:7" x14ac:dyDescent="0.25">
      <c r="A71">
        <v>3</v>
      </c>
      <c r="B71" t="s">
        <v>39</v>
      </c>
      <c r="C71">
        <v>65</v>
      </c>
      <c r="D71">
        <v>70</v>
      </c>
      <c r="E71">
        <v>72</v>
      </c>
      <c r="F71">
        <v>85</v>
      </c>
      <c r="G71">
        <f>AVERAGE(A71:F71)</f>
        <v>59</v>
      </c>
    </row>
    <row r="72" spans="1:7" x14ac:dyDescent="0.25">
      <c r="A72">
        <v>4</v>
      </c>
      <c r="B72" t="s">
        <v>40</v>
      </c>
      <c r="C72">
        <v>92</v>
      </c>
      <c r="D72">
        <v>89</v>
      </c>
      <c r="E72">
        <v>94</v>
      </c>
      <c r="F72">
        <v>98</v>
      </c>
      <c r="G72">
        <f>AVERAGE(A72:F72)</f>
        <v>75.400000000000006</v>
      </c>
    </row>
    <row r="73" spans="1:7" x14ac:dyDescent="0.25">
      <c r="A73">
        <v>5</v>
      </c>
      <c r="B73" t="s">
        <v>41</v>
      </c>
      <c r="C73">
        <v>55</v>
      </c>
      <c r="D73">
        <v>60</v>
      </c>
      <c r="E73">
        <v>58</v>
      </c>
      <c r="F73">
        <v>80</v>
      </c>
      <c r="G73">
        <f>AVERAGE(A73:F73)</f>
        <v>51.6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Sales_Data</vt:lpstr>
      <vt:lpstr>Product_Master</vt:lpstr>
      <vt:lpstr>Sheet5</vt:lpstr>
      <vt:lpstr>Student_Marks</vt:lpstr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ASDC2</cp:lastModifiedBy>
  <dcterms:created xsi:type="dcterms:W3CDTF">2025-12-20T09:26:06Z</dcterms:created>
  <dcterms:modified xsi:type="dcterms:W3CDTF">2026-07-07T10:15:15Z</dcterms:modified>
</cp:coreProperties>
</file>